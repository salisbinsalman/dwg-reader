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875" yWindow="780" windowWidth="28245" windowHeight="14925"/>
  </bookViews>
  <sheets>
    <sheet sheetId="1" name="Sheet1" state="visible" r:id="rId4"/>
  </sheets>
  <definedNames>
    <definedName name="_xlnm._FilterDatabase">Sheet1!$A$1:$AE$1</definedName>
  </definedNames>
  <calcPr calcId="171027"/>
</workbook>
</file>

<file path=xl/sharedStrings.xml><?xml version="1.0" encoding="utf-8"?>
<sst xmlns="http://schemas.openxmlformats.org/spreadsheetml/2006/main" count="3492" uniqueCount="1785">
  <si>
    <t>SORT ORDER</t>
  </si>
  <si>
    <t>ORDER</t>
  </si>
  <si>
    <t>SITE</t>
  </si>
  <si>
    <t>LINE</t>
  </si>
  <si>
    <t>PROCESS</t>
  </si>
  <si>
    <t>SUB-PROCESS</t>
  </si>
  <si>
    <t>FUNCTION</t>
  </si>
  <si>
    <t>EQUIPMENT</t>
  </si>
  <si>
    <t>SUB-EQUIPMENT</t>
  </si>
  <si>
    <t>MASK (max 30)</t>
  </si>
  <si>
    <t xml:space="preserve">MASK LEN </t>
  </si>
  <si>
    <t>DESCRIPTION (max 40)</t>
  </si>
  <si>
    <t>DESCRIPTION LEN</t>
  </si>
  <si>
    <t>PRIORITY SORT</t>
  </si>
  <si>
    <t>PRIORITY CODE</t>
  </si>
  <si>
    <t>OBJECT SORT</t>
  </si>
  <si>
    <t>OBJECT TYPE</t>
  </si>
  <si>
    <t>WORK CENTRE</t>
  </si>
  <si>
    <t>COMPANY CODE</t>
  </si>
  <si>
    <t>PLANT</t>
  </si>
  <si>
    <t>PLANNING PLANT</t>
  </si>
  <si>
    <t>PLANNING GROUP</t>
  </si>
  <si>
    <t>COST CENTRE</t>
  </si>
  <si>
    <t>MANUFACTURER</t>
  </si>
  <si>
    <t>MODEL TYPE</t>
  </si>
  <si>
    <t>SERIAL NO</t>
  </si>
  <si>
    <t>MAN. PART NO</t>
  </si>
  <si>
    <t>SUPERIOR EQUIP</t>
  </si>
  <si>
    <t>POSITION (POSNR)</t>
  </si>
  <si>
    <t>PID</t>
  </si>
  <si>
    <t>LONG DESCRIPTION</t>
  </si>
  <si>
    <t>PM03</t>
  </si>
  <si>
    <t>BR</t>
  </si>
  <si>
    <t>BROKE SYSTEM</t>
  </si>
  <si>
    <t>BR1</t>
  </si>
  <si>
    <t xml:space="preserve">STOD206339 </t>
  </si>
  <si>
    <t>35-24L009</t>
  </si>
  <si>
    <t xml:space="preserve">35-24L009 BROKE ROLL PLPR </t>
  </si>
  <si>
    <t>35-24LC-674</t>
  </si>
  <si>
    <t xml:space="preserve">35-24LC-674 BROKE ROLL PLPR LVL </t>
  </si>
  <si>
    <t/>
  </si>
  <si>
    <t>35-24-189</t>
  </si>
  <si>
    <t>LN 35-24-189 BROKE ROLL PLPR OVERFLOW</t>
  </si>
  <si>
    <t>35-24-190</t>
  </si>
  <si>
    <t>LN 35-24-190 BROKE ROLL PLPR DRN</t>
  </si>
  <si>
    <t>35-24-194</t>
  </si>
  <si>
    <t>HV 35-24-194 BROKE ROLL PLPR DRN VLV NC</t>
  </si>
  <si>
    <t>35-24L009.1</t>
  </si>
  <si>
    <t>35-24L009.1 BROKE ROLL PLPR RTR 1</t>
  </si>
  <si>
    <t>35-24-009.1</t>
  </si>
  <si>
    <t>35-24-009.1 BROKE ROLL PLPR RTR 1 MTR</t>
  </si>
  <si>
    <t>35-24L009.2</t>
  </si>
  <si>
    <t>35-24L009.2 BROKE ROLL PLPR RTR 2</t>
  </si>
  <si>
    <t>35-24-009.2</t>
  </si>
  <si>
    <t>35-24-009.2 BROKE ROLL PLPR RTR 2 MTR</t>
  </si>
  <si>
    <t>35-24-191</t>
  </si>
  <si>
    <t>LN 35-24-191 35-24P519 SUCT</t>
  </si>
  <si>
    <t>35-24-196</t>
  </si>
  <si>
    <t>HV 35-24-196 35-24P519 SUCT VLV NO</t>
  </si>
  <si>
    <t>35-24-197</t>
  </si>
  <si>
    <t>HV 35-24-197 35-24P519 SUCT DRN VLV NC</t>
  </si>
  <si>
    <t>35-24-221</t>
  </si>
  <si>
    <t>HV 35-24-221 35-24P519 SUCT FLUSH VLV NC</t>
  </si>
  <si>
    <t>35-24P519</t>
  </si>
  <si>
    <t>35-24P519 BROKE ROLL PLPR PMP</t>
  </si>
  <si>
    <t>35-24-519.1</t>
  </si>
  <si>
    <t>35-24-519.1 BROKE ROLL PLPR PMP MTR</t>
  </si>
  <si>
    <t>35-24-192</t>
  </si>
  <si>
    <t>LN 35-24-192 35-24P519 DIS</t>
  </si>
  <si>
    <t>35-24-199</t>
  </si>
  <si>
    <t>HV 35-24-199 35-24P519 DIS BREATHER VLV NC</t>
  </si>
  <si>
    <t>35-24-198</t>
  </si>
  <si>
    <t>HV 35-24-198 35-24P519 DIS DRN VLV NC</t>
  </si>
  <si>
    <t>35-24LV1-674</t>
  </si>
  <si>
    <t>35-24LV1-674 BROKE ROLL PLPR LVL CNTL VLV 1</t>
  </si>
  <si>
    <t>35-24XS-681</t>
  </si>
  <si>
    <t>35-24XS-681 BROKE ROLL PLPR SMPL</t>
  </si>
  <si>
    <t>35-24XSV-681</t>
  </si>
  <si>
    <t xml:space="preserve">35-24XSV-681 BROKE ROLL PLPR SMPL MAN VLV </t>
  </si>
  <si>
    <t>35-24-193</t>
  </si>
  <si>
    <t>LN 35-24-193 BROKE ROLL PLPR RE-CIRC</t>
  </si>
  <si>
    <t>35-24LV2-674</t>
  </si>
  <si>
    <t>35-24LV2-674 BROKE ROLL PLPR LVL CNTL VLV 2</t>
  </si>
  <si>
    <t>35-24-220</t>
  </si>
  <si>
    <t>HV 35-24-220 BROKE ROLL PLPR RE-CIRC LN VLV NO</t>
  </si>
  <si>
    <t>35-24-214</t>
  </si>
  <si>
    <t>LN 35-24-214 TUNDISH TO DRN</t>
  </si>
  <si>
    <t>LN 35-24-189 BROKE ROLL PULPER OVERFLOW</t>
  </si>
  <si>
    <t>35-24XS-692</t>
  </si>
  <si>
    <t>35-24XS-692 BROKE ROLL PLPR MCS</t>
  </si>
  <si>
    <t>35-24ES-683</t>
  </si>
  <si>
    <t>35-24ES-683 BROKE ROLL PULPER E-STOP</t>
  </si>
  <si>
    <t>35-24KJ-684</t>
  </si>
  <si>
    <t>35-24KJ-684 BROKE ROLL PULPER START</t>
  </si>
  <si>
    <t>35-24KJ-685</t>
  </si>
  <si>
    <t>35-24KJ-685 BROKE ROLL PULPER STOP</t>
  </si>
  <si>
    <t>35-24HS-682</t>
  </si>
  <si>
    <t>35-24HS-682 BROKE ROLL PULPER START/STOP</t>
  </si>
  <si>
    <t>35-24HS</t>
  </si>
  <si>
    <t>35-24HI-676</t>
  </si>
  <si>
    <t>35-24HI-676 BROKE ROLL PULPER SHOWER S1</t>
  </si>
  <si>
    <t>35-24L008</t>
  </si>
  <si>
    <t xml:space="preserve">35-24L008 WINDER PLPR </t>
  </si>
  <si>
    <t>35-24LC-513</t>
  </si>
  <si>
    <t>35-24LC-513 WINDER PLPR 1 LVL CNTL</t>
  </si>
  <si>
    <t>35-24-013</t>
  </si>
  <si>
    <t>LN 35-24-013 WINDER PLPR OVERFLOW</t>
  </si>
  <si>
    <t>35-24-011</t>
  </si>
  <si>
    <t>LN 35-24-011 WINDER PLPR DRN</t>
  </si>
  <si>
    <t>35-24-1100</t>
  </si>
  <si>
    <t>HV 35-24-1100 WINDER PLPR DRN VLV NC</t>
  </si>
  <si>
    <t>35-24L008.1</t>
  </si>
  <si>
    <t>35-24L008.1 WINDER PLPR RTR GB 1</t>
  </si>
  <si>
    <t>35-24-008.1</t>
  </si>
  <si>
    <t>35-24-008.1 WINDER PLPR RTR GB 1 MTR</t>
  </si>
  <si>
    <t>35-24-008.3</t>
  </si>
  <si>
    <t>35-24-008.3 WINDER PLPR RTR GB 1 OIL PMP MTR</t>
  </si>
  <si>
    <t>35-24L008.2</t>
  </si>
  <si>
    <t>35-24L008.2 WINDER PLPR RTR GB 2</t>
  </si>
  <si>
    <t>35-24-008.2</t>
  </si>
  <si>
    <t>35-24-008.2 WINDER PLPR RTR GB 2 MTR</t>
  </si>
  <si>
    <t>35-24-008.4</t>
  </si>
  <si>
    <t>35-24-008.4 WINDER PLPR RTR GB 2 OIL PMP MTR</t>
  </si>
  <si>
    <t>35-24-009</t>
  </si>
  <si>
    <t>LN 35-24-009 35-24P509 SUCT</t>
  </si>
  <si>
    <t>35-24-1088</t>
  </si>
  <si>
    <t xml:space="preserve">HV 35-24-1088 35-24P509 SUCT LN FLUSH VLV NC </t>
  </si>
  <si>
    <t>35-24-181</t>
  </si>
  <si>
    <t>HV 35-24-181 35-24P509 SUCT LN DRN VLV NC</t>
  </si>
  <si>
    <t>35-24-226</t>
  </si>
  <si>
    <t>HV 35-24-226 35-24P509 SUCT LN VLV NO</t>
  </si>
  <si>
    <t>35-24P509</t>
  </si>
  <si>
    <t>35-24P509 WINDER PLPR PMP</t>
  </si>
  <si>
    <t>35-24P509 PMP UNIT</t>
  </si>
  <si>
    <t>35-24-509.1</t>
  </si>
  <si>
    <t>35-24-509.1 WINDER PLPR PMP MTR</t>
  </si>
  <si>
    <t>35-24-002</t>
  </si>
  <si>
    <t>LN 35-24-002 35-24P509 DIS</t>
  </si>
  <si>
    <t>35-24-184</t>
  </si>
  <si>
    <t>HV 35-24-184 35-24P509 DIS LN BLEED VLV NC</t>
  </si>
  <si>
    <t>35-24LV1-513</t>
  </si>
  <si>
    <t>35-24LV1-513 WINDER PLPR 1 LVL CNTL VLV1</t>
  </si>
  <si>
    <t>35-24-187</t>
  </si>
  <si>
    <t>HV 35-24-187 35-24P509 DIS LN FLUSH VLV NC</t>
  </si>
  <si>
    <t>35-24-186</t>
  </si>
  <si>
    <t xml:space="preserve">HV 35-24-186 35-24P509 DIS LN DRN VLV NC </t>
  </si>
  <si>
    <t>35-24XS-665</t>
  </si>
  <si>
    <t>35-24XS-665 WINDER PLPR SMPL CNTL</t>
  </si>
  <si>
    <t>35-24XSV-665</t>
  </si>
  <si>
    <t>35-24XSV-665 WINDER PLPR SMPL MAN OPERATED VLV</t>
  </si>
  <si>
    <t>35-24-204</t>
  </si>
  <si>
    <t>LN 35-24-204 TUNDISH TO DRN LN</t>
  </si>
  <si>
    <t>35-24-007</t>
  </si>
  <si>
    <t>LN 35-24-007 WINDER PLPR RE-CIRC FROM 35-24P509</t>
  </si>
  <si>
    <t>35-24LV2-513</t>
  </si>
  <si>
    <t>35-24LV2-513 WINDER PLPR 1 LVL CNTL VLV2</t>
  </si>
  <si>
    <t>35-24-180</t>
  </si>
  <si>
    <t>HV 35-24-180 WINDER PLPR RE-CIRC VLV NO</t>
  </si>
  <si>
    <t>35-24XS-691</t>
  </si>
  <si>
    <t xml:space="preserve">35-24XS-691 WINDER PULPER MCS SIGNAL </t>
  </si>
  <si>
    <t>35-24ES-508</t>
  </si>
  <si>
    <t>35-24ES-508 WINDER AREA E-STOP</t>
  </si>
  <si>
    <t>35-24KJ-510</t>
  </si>
  <si>
    <t xml:space="preserve">35-24KJ-510 WINDER PULPER START </t>
  </si>
  <si>
    <t>35-24KJ-511</t>
  </si>
  <si>
    <t>35-24KJ-511 WINDER PULPER STOP</t>
  </si>
  <si>
    <t>35-24HS-509</t>
  </si>
  <si>
    <t xml:space="preserve">35-24HS-509 WINDER PULPER START/STOP </t>
  </si>
  <si>
    <t>35-24HS-516</t>
  </si>
  <si>
    <t>35-24HS-516 WINDER PULPER SHOWERS S1 S2</t>
  </si>
  <si>
    <t>35-24HI-516</t>
  </si>
  <si>
    <t>35-24HI-516 WINDER PULPER SHOWERS S1 S2</t>
  </si>
  <si>
    <t>35-24HS-501</t>
  </si>
  <si>
    <t>35-24HS-501 WINDER PULPER SHOWER S3</t>
  </si>
  <si>
    <t>35-24HI-501</t>
  </si>
  <si>
    <t>35-24HI-501 WINDER PULPER SHOWER S3</t>
  </si>
  <si>
    <t>35-24HS-503</t>
  </si>
  <si>
    <t>35-24HS-503 WINDER PULPER SHOWER S5 S6</t>
  </si>
  <si>
    <t>35-24HI-503</t>
  </si>
  <si>
    <t>35-24HI-501 WINDER PULPER SHOWER S5 S6</t>
  </si>
  <si>
    <t>35-24L007</t>
  </si>
  <si>
    <t xml:space="preserve">35-24L007 SLABBING PLPR </t>
  </si>
  <si>
    <t>35-24LC-518</t>
  </si>
  <si>
    <t>35-24LC-518 SLABBING PLPR LVL CNTL</t>
  </si>
  <si>
    <t>35-24-029</t>
  </si>
  <si>
    <t>LN 35-24-029 SLABBING PLPR OVERFLOW</t>
  </si>
  <si>
    <t>35-24-027</t>
  </si>
  <si>
    <t>LN 35-24-027 SLABBING PLPR DRN</t>
  </si>
  <si>
    <t>35-24-1096</t>
  </si>
  <si>
    <t>HV 35-24-1096 SLABBING PLPR DRN LN VLV NC</t>
  </si>
  <si>
    <t>35-24L007.1</t>
  </si>
  <si>
    <t>35-24L007.1 SLABBING PLPR RTR GB 1</t>
  </si>
  <si>
    <t>35-24-007.1</t>
  </si>
  <si>
    <t>35-24-007.1 SLABBING PLPR RTR GB1 MTR</t>
  </si>
  <si>
    <t>35-24-007.3</t>
  </si>
  <si>
    <t>35-24-007.3 SLABBING PLPR GB1 OIL PMP MTR</t>
  </si>
  <si>
    <t>35-24L007.2</t>
  </si>
  <si>
    <t>35-24L007.2 SLABBING PLPR RTR GB 2</t>
  </si>
  <si>
    <t>35-24-007.2</t>
  </si>
  <si>
    <t>35-24-007.2 SLABBING PLPR RTR GB2 MTR</t>
  </si>
  <si>
    <t>35-24-007.4</t>
  </si>
  <si>
    <t>35-24-007.4 SLABBING PLPR GB2 OIL PMP MTR</t>
  </si>
  <si>
    <t>35-24-025</t>
  </si>
  <si>
    <t>LN 35-24-025 35-24P508 SUCT</t>
  </si>
  <si>
    <t>35-24-1106</t>
  </si>
  <si>
    <t>HV 35-24-1106 35-24P508 SUCT LN FLUSH VLV NC</t>
  </si>
  <si>
    <t>35-24-161</t>
  </si>
  <si>
    <t>HV 35-24-161 35-24P508 SUCT LN DRN VLV NC</t>
  </si>
  <si>
    <t>35-24-227</t>
  </si>
  <si>
    <t>HV 35-24-227 35-24P508 SUCT LN VLV NO</t>
  </si>
  <si>
    <t>35-24P508</t>
  </si>
  <si>
    <t>35-24P508 SLABBING PLPR PMP</t>
  </si>
  <si>
    <t>35-24P508 PMP UNIT</t>
  </si>
  <si>
    <t>35-24-508.1</t>
  </si>
  <si>
    <t>35-24-508.1 SLABBING PLPR PMP MTR</t>
  </si>
  <si>
    <t>35-24-019</t>
  </si>
  <si>
    <t>LN 35-24-019 35-24P508 DIS</t>
  </si>
  <si>
    <t>35-24-164</t>
  </si>
  <si>
    <t>HV 35-24-164 35-24P508 DIS LN BLEED VLV NC</t>
  </si>
  <si>
    <t>35-24-216</t>
  </si>
  <si>
    <t>HV 35-24-216 35-24P508 DIS LN DRN VLV NC</t>
  </si>
  <si>
    <t>35-24-1095</t>
  </si>
  <si>
    <t xml:space="preserve">HV 35-24-1095 35-24P508 DIS LN FLUSH VLV </t>
  </si>
  <si>
    <t>35-24LV1-518</t>
  </si>
  <si>
    <t>35-24LV1-518 SLABBING PLPR LVL CNTL VLV 1</t>
  </si>
  <si>
    <t>35-24XS-666</t>
  </si>
  <si>
    <t>35-24XS-666 SLABBING PLPR SMPL CNTL</t>
  </si>
  <si>
    <t>35-24XSV-666</t>
  </si>
  <si>
    <t>35-24XSV-666 SLABBING PLPR SMPL MAN OPERATED VLV</t>
  </si>
  <si>
    <t>35-24-205</t>
  </si>
  <si>
    <t>LN 35-24-205 TUNDISH TO DRN LN</t>
  </si>
  <si>
    <t>35-24-023</t>
  </si>
  <si>
    <t>LN 35-24-023 SLABBING PLPR RE-CIRC FROM 35-24P508</t>
  </si>
  <si>
    <t>35-24LV2-518</t>
  </si>
  <si>
    <t>35-24LV2-518 SLABBING PLPR LVL CNTL VLV 2</t>
  </si>
  <si>
    <t>35-24-160</t>
  </si>
  <si>
    <t>HV 35-24-160 SLABBING PLPR RE-CIRC VLV NO</t>
  </si>
  <si>
    <t>35-24XS-690</t>
  </si>
  <si>
    <t>35-24XS-690 SLABBING PULPER MCS SIGNAL</t>
  </si>
  <si>
    <t>35-24KJ-523</t>
  </si>
  <si>
    <t xml:space="preserve">35-24KJ-523 SLABBING PULPER START </t>
  </si>
  <si>
    <t>35-24KJ-524</t>
  </si>
  <si>
    <t xml:space="preserve">35-24KJ-524 SLABBING PULPER STOP </t>
  </si>
  <si>
    <t>35-24HS-522</t>
  </si>
  <si>
    <t>35-24HS-522 SLABBING PULPER START/STOP</t>
  </si>
  <si>
    <t>35-24HS-529</t>
  </si>
  <si>
    <t xml:space="preserve">35-24HS-529 SLABBING PULPER SHOWER S1 </t>
  </si>
  <si>
    <t>35-24HI-529</t>
  </si>
  <si>
    <t xml:space="preserve">35-24HI-529 SLABBING PULPER SHOWER S1 </t>
  </si>
  <si>
    <t>35-24HS-532</t>
  </si>
  <si>
    <t>35-24HS-532 SLABBING PULPER SHOWER S2</t>
  </si>
  <si>
    <t>35-24HI-532</t>
  </si>
  <si>
    <t>35-24HI-532 SLABBING PULPER SHOWER S2</t>
  </si>
  <si>
    <t>35-24L006</t>
  </si>
  <si>
    <t xml:space="preserve">35-24L006 BROKE CONVEYOR 3 </t>
  </si>
  <si>
    <t>35-24-006.1</t>
  </si>
  <si>
    <t>35-24-006.1 BROKE CONVEYOR 3 MTR</t>
  </si>
  <si>
    <t>35-24L005</t>
  </si>
  <si>
    <t xml:space="preserve">35-24L005 REEL PLPR </t>
  </si>
  <si>
    <t>35-24-049</t>
  </si>
  <si>
    <t>LN 35-24-049 REEL PLPR OVERFLOW</t>
  </si>
  <si>
    <t>35-24-046</t>
  </si>
  <si>
    <t>LN 35-24-046 REEL PLPR DRN</t>
  </si>
  <si>
    <t>35-24-137</t>
  </si>
  <si>
    <t>HV 35-24-137 REEL PLPR DRN VLV NC</t>
  </si>
  <si>
    <t>35-24L005.1</t>
  </si>
  <si>
    <t xml:space="preserve">35-24L005.1 REEL PLPR RTR GB1 </t>
  </si>
  <si>
    <t>35-24-005.3</t>
  </si>
  <si>
    <t>35-24-005.3 REEL PLPR RTR GB1 OIL PMP MTR</t>
  </si>
  <si>
    <t>35-24PI-660</t>
  </si>
  <si>
    <t xml:space="preserve">35-24PI-660 REEL PLPR RTR GB1 PRESSURE INDICATOR </t>
  </si>
  <si>
    <t>35-24-005.1</t>
  </si>
  <si>
    <t>35-24-005.1 REEL PLPR RTR GB1 MTR</t>
  </si>
  <si>
    <t>35-24L005.2</t>
  </si>
  <si>
    <t xml:space="preserve">35-24L005.2 REEL PLPR RTR GB2 </t>
  </si>
  <si>
    <t>35-24-005.4</t>
  </si>
  <si>
    <t>35-24-005.4 REEL PLPR RTR GB2 OIL PMP MTR</t>
  </si>
  <si>
    <t>35-24PI-661</t>
  </si>
  <si>
    <t xml:space="preserve">35-24PI-661 REEL PLPR RTR GB2 PRESSURE INDICATOR </t>
  </si>
  <si>
    <t>35-24-005.2</t>
  </si>
  <si>
    <t>35-24-005.2 REEL PLPR RTR GB2 MTR</t>
  </si>
  <si>
    <t>35-24-044</t>
  </si>
  <si>
    <t>LN 35-24-044 35-24P506 SUCT</t>
  </si>
  <si>
    <t>35-24-228</t>
  </si>
  <si>
    <t>HV 35-24-228 35-24P506 SUCT LN VLV NO</t>
  </si>
  <si>
    <t>LN 35-24-220 35-24P506 SUCT DRN</t>
  </si>
  <si>
    <t>35-24-141</t>
  </si>
  <si>
    <t>HV 35-24-141 35-24P506 SUCT DRN VLV NC</t>
  </si>
  <si>
    <t>35-24-1128</t>
  </si>
  <si>
    <t>HV 35-24-1128 35-24P506 SUCT FLUSH VLV NC</t>
  </si>
  <si>
    <t>35-24P506</t>
  </si>
  <si>
    <t>35-24P506 REEL PLPR PMP</t>
  </si>
  <si>
    <t>35-24P506 PMP UNIT</t>
  </si>
  <si>
    <t>35-24-506.1</t>
  </si>
  <si>
    <t>35-24-506.1 REEL PLPR PMP MTR</t>
  </si>
  <si>
    <t>35-24LC-537</t>
  </si>
  <si>
    <t>35-24LC-537 REEL PLPR LVL XMTR</t>
  </si>
  <si>
    <t>35-24-040</t>
  </si>
  <si>
    <t>LN 35-24-040 35-24P506 DIS</t>
  </si>
  <si>
    <t>35-24-1112</t>
  </si>
  <si>
    <t>HV 35-24-1112 35-24P506 DIS LN BLEED VLV NC</t>
  </si>
  <si>
    <t>35-24-147</t>
  </si>
  <si>
    <t>HV 35-24-147 35-24P506 DIS LN FLUSH VLV NC</t>
  </si>
  <si>
    <t>35-24-145</t>
  </si>
  <si>
    <t>HV 35-24-145 35-24P506 DIS LN DRN VLV NC</t>
  </si>
  <si>
    <t>35-24NC-583</t>
  </si>
  <si>
    <t xml:space="preserve">35-24NC-583 CONSISTENCY CONTROLLER </t>
  </si>
  <si>
    <t>35-24XV-667</t>
  </si>
  <si>
    <t>35-24XV-667 35-24L005 SMPL MAN OPERATED VLV</t>
  </si>
  <si>
    <t>35-24XSV-667</t>
  </si>
  <si>
    <t>35-24XSV-667 35-24L005 SMPL CONSISTENCY SMPLR</t>
  </si>
  <si>
    <t>35-24LV1-537</t>
  </si>
  <si>
    <t>35-24LV1-537 35-24L005 LVL CNTL VLV 1</t>
  </si>
  <si>
    <t>35-24-043</t>
  </si>
  <si>
    <t>LN 35-24-043 35-24L005 RE-CIRC FROM 35-24P506</t>
  </si>
  <si>
    <t>35-24LV2-537</t>
  </si>
  <si>
    <t>35-24LV2-537 35-24L005 LVL CNTL VLV 1</t>
  </si>
  <si>
    <t>35-24-140</t>
  </si>
  <si>
    <t>HV 35-24-140 35-24L005 RE-CIRC LN FROM 35-24P506 VLV NO</t>
  </si>
  <si>
    <t>35-24-047</t>
  </si>
  <si>
    <t>LN 35-24-047 35-24P507 SUCT</t>
  </si>
  <si>
    <t>35-24P507</t>
  </si>
  <si>
    <t>35-24P507 REEL PLPR PIT PMP</t>
  </si>
  <si>
    <t>35-24P507 PMP UNIT</t>
  </si>
  <si>
    <t>35-24-507.1</t>
  </si>
  <si>
    <t>35-24-507.1 REEL PLPR PIT PMP MTR</t>
  </si>
  <si>
    <t>35-24-051</t>
  </si>
  <si>
    <t>LN 35-24-051 35-24P507 DIS</t>
  </si>
  <si>
    <t>35-24HV-548</t>
  </si>
  <si>
    <t>35-24HV-548 REEL PLPR PIT CNTL VLV</t>
  </si>
  <si>
    <t>35-24HI-548</t>
  </si>
  <si>
    <t>35-24HI-548 REEL PLPR PIT CNTL</t>
  </si>
  <si>
    <t>35-24-222</t>
  </si>
  <si>
    <t>LN 35-24-222 35-24P520 SUCT</t>
  </si>
  <si>
    <t>35-24-236</t>
  </si>
  <si>
    <t>35-24-236 35-24P520 SUCT LN VLV</t>
  </si>
  <si>
    <t>35-24-1131</t>
  </si>
  <si>
    <t>HV 35-24-1131 35-24P520 SUCT LN VLV NO</t>
  </si>
  <si>
    <t>35-24P520</t>
  </si>
  <si>
    <t>35-24P520 RELL PLPR RECIRC P,P</t>
  </si>
  <si>
    <t>35-24P520 PMP UNIT</t>
  </si>
  <si>
    <t>35-24-520.1</t>
  </si>
  <si>
    <t>35-24-520.1 RELL PLPR MTR</t>
  </si>
  <si>
    <t>35-24-223</t>
  </si>
  <si>
    <t>LN 35-24-223 35-24P520 DIS</t>
  </si>
  <si>
    <t>35-24FC-696</t>
  </si>
  <si>
    <t>35-24FC-696 REEL PLPR EDGE TRIM SHOWER CNTL</t>
  </si>
  <si>
    <t>35-24FV-696</t>
  </si>
  <si>
    <t>35-24FV-696 REEL PLPR EDGE TRIM SHOWER CNTL VLV</t>
  </si>
  <si>
    <t>35-24-232</t>
  </si>
  <si>
    <t>HV 35-24-232 35-24P520 DIS VLV NO</t>
  </si>
  <si>
    <t>35-24-233</t>
  </si>
  <si>
    <t>HV 35-24-233 35-24P520 DIS VLV NO</t>
  </si>
  <si>
    <t>35-24LI-547</t>
  </si>
  <si>
    <t xml:space="preserve">35-24LI-547  REEL PLPR PIT LVL TRANSMITTER </t>
  </si>
  <si>
    <t>35-24XS-541</t>
  </si>
  <si>
    <t xml:space="preserve">35-24XS-541 REEL PULPER MCS SIGNAL </t>
  </si>
  <si>
    <t>35-24KJ-543</t>
  </si>
  <si>
    <t xml:space="preserve">35-24KJ-543 REEL PULPER START </t>
  </si>
  <si>
    <t>35-24KJ-544</t>
  </si>
  <si>
    <t>35-24KJ-544 REEL PULPER STOP</t>
  </si>
  <si>
    <t>35-24HS-542</t>
  </si>
  <si>
    <t>35-24HS-542 REEL PULPER START/STOP</t>
  </si>
  <si>
    <t>35-24HS-552</t>
  </si>
  <si>
    <t>35-24HS-552 REEL PULPER TAIL SHOWER ST</t>
  </si>
  <si>
    <t>35-24HI-552</t>
  </si>
  <si>
    <t>35-24HI-552 REEL PULPER TAIL SHOWER ST</t>
  </si>
  <si>
    <t>35-24HS-555</t>
  </si>
  <si>
    <t>35-24HS-555 REEL PULPER SHOWER S1</t>
  </si>
  <si>
    <t>35-24HI-555</t>
  </si>
  <si>
    <t>35-24HI-555 REEL PULPER SHOWER S1</t>
  </si>
  <si>
    <t>35-24HS-653</t>
  </si>
  <si>
    <t>35-24HS-653 REEL PULPER SHOWER S2</t>
  </si>
  <si>
    <t>35-24HI-653</t>
  </si>
  <si>
    <t>35-24HI-653 REEL PULPER SHOWER S2</t>
  </si>
  <si>
    <t>35-24HS-652</t>
  </si>
  <si>
    <t>35-24HS-652 REEL PULPER SHOWER S4</t>
  </si>
  <si>
    <t>35-24HI-652</t>
  </si>
  <si>
    <t>35-24HI-652 REEL PULPER SHOWER S4</t>
  </si>
  <si>
    <t>35-24HS-634</t>
  </si>
  <si>
    <t>35-24HS-634 REEL PULPER SHOWER S4</t>
  </si>
  <si>
    <t>35-24HI-634</t>
  </si>
  <si>
    <t>35-24HI-634 REEL PULPER SHOWER S4</t>
  </si>
  <si>
    <t>35-24L004</t>
  </si>
  <si>
    <t xml:space="preserve">35-24L004 BROKE CONVEYOR 2 </t>
  </si>
  <si>
    <t>35-24-004.1</t>
  </si>
  <si>
    <t>35-24-004.1 BROKE CONVEYOR 2 MTR</t>
  </si>
  <si>
    <t>35-24L003</t>
  </si>
  <si>
    <t xml:space="preserve">35-24L003 SIZE PRESS PLPR </t>
  </si>
  <si>
    <t>35-24LC-560</t>
  </si>
  <si>
    <t xml:space="preserve">35-24LC-560 SIZE PRESS PLPR LVL CNTL </t>
  </si>
  <si>
    <t>35-24-082</t>
  </si>
  <si>
    <t>LN 35-24-082 SIZE PRESS PLPR OVERFLOW</t>
  </si>
  <si>
    <t>35-24-081</t>
  </si>
  <si>
    <t>LN 35-24-081 SIZE PRESS PLPR DRN</t>
  </si>
  <si>
    <t>35-24-105</t>
  </si>
  <si>
    <t>HV 35-24-105 SIZE PRESS PLPR DRN VLV NC</t>
  </si>
  <si>
    <t>35-24L003.1</t>
  </si>
  <si>
    <t>35-24L003.1 SIZE PRESS PLPR GB 1</t>
  </si>
  <si>
    <t>35-24-003.3</t>
  </si>
  <si>
    <t>35-24-003.3 SIZE PRESS PLPR GB1 OIL PMP MTR</t>
  </si>
  <si>
    <t>35-24PI-658</t>
  </si>
  <si>
    <t xml:space="preserve">35-24PI-658 SIZE PRESS PLPR GB 1 PRESSURE INDICATOR </t>
  </si>
  <si>
    <t>35-24-003.1</t>
  </si>
  <si>
    <t>35-24-003.1 SIZE PRESS PLPR GB1 MTR</t>
  </si>
  <si>
    <t>35-24L003.2</t>
  </si>
  <si>
    <t>35-24L003.2 SIZE PRESS PLPR GB 2</t>
  </si>
  <si>
    <t>35-24-003.4</t>
  </si>
  <si>
    <t>35-24-003.4 SIZE PRESS PLPR GB2 OIL PMP MTR</t>
  </si>
  <si>
    <t>35-24PI-659</t>
  </si>
  <si>
    <t xml:space="preserve">35-24PI-659 SIZE PRESS PLPR GB 1 PRESSURE INDICATOR </t>
  </si>
  <si>
    <t>35-24-003.2</t>
  </si>
  <si>
    <t>35-24-003.2 SIZE PRESS PLPR GB2 MTR</t>
  </si>
  <si>
    <t>35-24-078</t>
  </si>
  <si>
    <t>LN 35-24-078 35-24P505 SUCT</t>
  </si>
  <si>
    <t>35-24-230</t>
  </si>
  <si>
    <t>HV 35-24-230 35-24P505 SUCT VLV NO</t>
  </si>
  <si>
    <t>LN 35-24-221 35-24P505 SUCT DRN</t>
  </si>
  <si>
    <t>35-24-108</t>
  </si>
  <si>
    <t>HV 35-24-108 35-24P505 SUCT FLUSH VLV NC</t>
  </si>
  <si>
    <t>35-24-107</t>
  </si>
  <si>
    <t xml:space="preserve">HV 35-24-107 35-24P505 SUCT DRN VLV NC </t>
  </si>
  <si>
    <t>35-24P505</t>
  </si>
  <si>
    <t>35-24P505 SIZE PRESS PLPR PMP</t>
  </si>
  <si>
    <t>35-24P505 PMP UNIT</t>
  </si>
  <si>
    <t>35-24-505.1</t>
  </si>
  <si>
    <t>35-24-505.1 SIZE PRESS PLPR PMP MTR</t>
  </si>
  <si>
    <t>35-24-072</t>
  </si>
  <si>
    <t>LN 35-24-072 35-24P505 DIS</t>
  </si>
  <si>
    <t>35-24-111</t>
  </si>
  <si>
    <t>HV 35-24-111 35-24P505 DIS BLEED VLV NC</t>
  </si>
  <si>
    <t>35-24-113</t>
  </si>
  <si>
    <t xml:space="preserve">HV 35-24-113 35-24P505 DIS FLUSH VLV NC </t>
  </si>
  <si>
    <t>35-24-110</t>
  </si>
  <si>
    <t xml:space="preserve">HV 35-24-110 35-24P505 DIS DRN VLV NC </t>
  </si>
  <si>
    <t>35-24NC-561</t>
  </si>
  <si>
    <t xml:space="preserve">35-24NC-561 CONSISTENCY CONTROLLER </t>
  </si>
  <si>
    <t>35-24LV1-560</t>
  </si>
  <si>
    <t>35-24LV1-560 SIZE PRESS PLPR LVL CNTL VLV 1</t>
  </si>
  <si>
    <t>35-24XV-669</t>
  </si>
  <si>
    <t>35-24XV-669 SMPL MAN OPERATED VLV</t>
  </si>
  <si>
    <t>35-24XS-669</t>
  </si>
  <si>
    <t xml:space="preserve">35-24XS-669 CONSISTENCY SAMPLER </t>
  </si>
  <si>
    <t>35-24-077</t>
  </si>
  <si>
    <t>LN 35-24-077 35-24L003 RE-CIRC FROM 35-24P505</t>
  </si>
  <si>
    <t>35-24LV2-560</t>
  </si>
  <si>
    <t>35-24LV2-560 SIZE PRESS PLPR LVL CNTL VLV 2</t>
  </si>
  <si>
    <t>35-24-208</t>
  </si>
  <si>
    <t>LN 35-24-208 TUNDISH DRN</t>
  </si>
  <si>
    <t>35-34XS-562</t>
  </si>
  <si>
    <t>35-34XS-562 SIZE PRESS PULPER MCS SIGNAL</t>
  </si>
  <si>
    <t>35-24KJ-564</t>
  </si>
  <si>
    <t>35-24KJ-564 SIZE PRESS PULPER START</t>
  </si>
  <si>
    <t>35-24KJ-565</t>
  </si>
  <si>
    <t>35-24KJ-565 SIZE PRESS PULPER STOP</t>
  </si>
  <si>
    <t>35-24HS-572</t>
  </si>
  <si>
    <t>35-24HS-572 SIZE PRESS PULPER SHOWERS S1 &amp; TAIL (SAME NUMBER)</t>
  </si>
  <si>
    <t>35-24HI-572</t>
  </si>
  <si>
    <t>35-24HI-572 SIZE PRESS PULPER SHOWERS S1 &amp; TAIL</t>
  </si>
  <si>
    <t>35-24HS-563</t>
  </si>
  <si>
    <t xml:space="preserve">35-24HS-563 SIZE PRESS PULPER START/STOP </t>
  </si>
  <si>
    <t>35-24HS-572 SIZE PRESS PULPER TAIL SHOWER ST</t>
  </si>
  <si>
    <t>35-24HI-572 SIZE PRESS PULPER TAIL SHOWER ST</t>
  </si>
  <si>
    <t>35-24HS-575</t>
  </si>
  <si>
    <t xml:space="preserve">35-24HS-575 SIZE PRESS PULPER SHOWERS S2 </t>
  </si>
  <si>
    <t>35-24HI-575</t>
  </si>
  <si>
    <t xml:space="preserve">35-24HI-575 SIZE PRESS PULPER SHOWERS S2 </t>
  </si>
  <si>
    <t>35-24T603</t>
  </si>
  <si>
    <t>35-24T603 BROKE COLLECTION TNK</t>
  </si>
  <si>
    <t>35-24LC-559</t>
  </si>
  <si>
    <t>35-24LC-559 BROKE COLLECTION TNK LVL CNTL</t>
  </si>
  <si>
    <t>35-24-071</t>
  </si>
  <si>
    <t>35-24-071 BROKE COLLECTION TNK OVERFLOW</t>
  </si>
  <si>
    <t>35-24-067</t>
  </si>
  <si>
    <t>LN 35-24-067 BROKE COLLECTION TNK DRN</t>
  </si>
  <si>
    <t>35-24-1130</t>
  </si>
  <si>
    <t>HV 35-24-1130 BROKE COLLECTION TNK DRN VLV NC</t>
  </si>
  <si>
    <t>35-24L406</t>
  </si>
  <si>
    <t>35-24L406 BROKE COLLECTION TNK AGI</t>
  </si>
  <si>
    <t>35-24-406.1</t>
  </si>
  <si>
    <t>35-24-406.1 BROKE COLLECTION TNK AGI MTR</t>
  </si>
  <si>
    <t>35-24-066</t>
  </si>
  <si>
    <t>LN 35-24-066 35-24P510 SUCT</t>
  </si>
  <si>
    <t>35-24-121</t>
  </si>
  <si>
    <t>HV 35-24-121 35-24P510 SUCT LN VLV NO</t>
  </si>
  <si>
    <t>35-24-126</t>
  </si>
  <si>
    <t>HV 35-24-126 35-24P510 SUCT LN FLUSH VLV NC</t>
  </si>
  <si>
    <t>35-24-123</t>
  </si>
  <si>
    <t>HV 35-24-123 35-24P510 SUCT LN DRN VLV NC</t>
  </si>
  <si>
    <t>35-24P510</t>
  </si>
  <si>
    <t>35-24P510 BROKE COLLECTION TNK PMP 1</t>
  </si>
  <si>
    <t>35-24P510 PMP UNIT</t>
  </si>
  <si>
    <t>35-24-510.1</t>
  </si>
  <si>
    <t>35-24-510.1 BROKE COLLECTION TNK PMP 1 MTR</t>
  </si>
  <si>
    <t>35-24-060</t>
  </si>
  <si>
    <t>LN 35-24-060 35-24P510 DIS</t>
  </si>
  <si>
    <t>35-24-129</t>
  </si>
  <si>
    <t>HV 35-24-129 35-24P510 DIS LN BLEED VLV NC</t>
  </si>
  <si>
    <t>35-24LV1-559</t>
  </si>
  <si>
    <t>35-24LV1-559 BROKE COLLECTION TNK LVL CNTL VLV1</t>
  </si>
  <si>
    <t>35-24-131</t>
  </si>
  <si>
    <t>HV 35-24-131 35-24P510 DIS LN DRN VLV NC</t>
  </si>
  <si>
    <t>HV 35-24-205 35-24P510 DIS LN FLUSH VLV NC</t>
  </si>
  <si>
    <t>35-24XV-668</t>
  </si>
  <si>
    <t>35-24XV-668 35-24T603 SMPL CONSISTENCY SMPLR</t>
  </si>
  <si>
    <t>35-24XSV-668</t>
  </si>
  <si>
    <t>35-24XSV-668 35-24T603 SMPL MAN OPERATED VLV</t>
  </si>
  <si>
    <t>35-24XS-668</t>
  </si>
  <si>
    <t>35-24XS-668 LOCAL CNTL SWITCH CONSISTENCY SMPLR</t>
  </si>
  <si>
    <t>35-24-207</t>
  </si>
  <si>
    <t>LN 35-24-207 TUNDISH DRN</t>
  </si>
  <si>
    <t>35-24-065</t>
  </si>
  <si>
    <t>LN 35-24-065 35-24P511 SUCT</t>
  </si>
  <si>
    <t>35-24-1098</t>
  </si>
  <si>
    <t>HV 35-24-1098 35-24P511 SUCT LN VLV NO</t>
  </si>
  <si>
    <t>35-24-1114</t>
  </si>
  <si>
    <t>HV 35-24-1114 35-24P511 SUCT LN DRN VLV NC</t>
  </si>
  <si>
    <t>35-24-1099</t>
  </si>
  <si>
    <t>HV 35-24-1099 35-24P511 SUCT LN FLUSH VLV NC</t>
  </si>
  <si>
    <t>35-24P511</t>
  </si>
  <si>
    <t>35-24P511 BROKE COLLECTION TNK PMP 2</t>
  </si>
  <si>
    <t>35-24P511 PMP UNIT</t>
  </si>
  <si>
    <t>35-24-511.1</t>
  </si>
  <si>
    <t>35-24-511.1 BROKE COLLECTION TNK PMP 2 MTR</t>
  </si>
  <si>
    <t>35-24-062</t>
  </si>
  <si>
    <t>LN 35-24-062 35-24P511 DIS</t>
  </si>
  <si>
    <t>35-24-130</t>
  </si>
  <si>
    <t>HV 35-24-130 35-24P511 DIS LN BLEED VLV NC</t>
  </si>
  <si>
    <t>35-24LV2-559</t>
  </si>
  <si>
    <t>35-24LV2-559 BROKE COLLECTION TNK LVL CNTL VALVE 2</t>
  </si>
  <si>
    <t>35-24L011</t>
  </si>
  <si>
    <t xml:space="preserve">35-24L011 BROKE CONVEYOR 1 </t>
  </si>
  <si>
    <t>35-24-011.1</t>
  </si>
  <si>
    <t>35-24-011.1 BROKE CONVEYOR 1 MTR</t>
  </si>
  <si>
    <t>35-24L001</t>
  </si>
  <si>
    <t xml:space="preserve">35-24L001 PRESS PLPR </t>
  </si>
  <si>
    <t>35-24LC-576</t>
  </si>
  <si>
    <t>35-24LC-576 PRESS PLPR LVL CNTL</t>
  </si>
  <si>
    <t>?</t>
  </si>
  <si>
    <t>? PRESS PLPR OVERFLOW LN</t>
  </si>
  <si>
    <t>35-24-100</t>
  </si>
  <si>
    <t>LN 35-24-100 PRESS PLPR DRN</t>
  </si>
  <si>
    <t>35-24-089</t>
  </si>
  <si>
    <t>HV 35-24-089 PRESS PLPR DRN VLV NC</t>
  </si>
  <si>
    <t>35-24L001.1</t>
  </si>
  <si>
    <t>35-24L001.1 PRESS PLPR GB 1</t>
  </si>
  <si>
    <t>35-24-001.3</t>
  </si>
  <si>
    <t>35-24-001.3 PRESS PLPR GB1 OIL PMP MTR</t>
  </si>
  <si>
    <t>35-24-001.1</t>
  </si>
  <si>
    <t>35-24-001.1 PRESS PLPR GB 1 MTR</t>
  </si>
  <si>
    <t>35-24L001.2</t>
  </si>
  <si>
    <t>35-24L001.2 PRESS PLPR GB 2</t>
  </si>
  <si>
    <t>35-24-001.4</t>
  </si>
  <si>
    <t>35-24-001.4 PRESS PLPR GB2 OIL PMP MTR</t>
  </si>
  <si>
    <t>35-24-001.2</t>
  </si>
  <si>
    <t>35-24-001.2 PRESS PLPR GB 2 MTR</t>
  </si>
  <si>
    <t>35-24-096</t>
  </si>
  <si>
    <t>LN 35-24-096 35-24P503 SUCT</t>
  </si>
  <si>
    <t>35-24-093</t>
  </si>
  <si>
    <t>HV 35-24-093 35-24P503 SUCT DRN VLV NC</t>
  </si>
  <si>
    <t>35-24-1105</t>
  </si>
  <si>
    <t>HV 35-24-1105 35-24P503 SUCT FLUSH VLV NC</t>
  </si>
  <si>
    <t>35-24P503</t>
  </si>
  <si>
    <t>35-24P503 PRESS PLPR PMP</t>
  </si>
  <si>
    <t>35-24P503 PMP UNIT</t>
  </si>
  <si>
    <t>35-24-503.1</t>
  </si>
  <si>
    <t>35-24-503.1 PRESS PLPR PMP MTR</t>
  </si>
  <si>
    <t>LN 35-24-093 35-24P503 DIS</t>
  </si>
  <si>
    <t>HV 35-24-096 35-24P503 DIS BLEED VLV NC</t>
  </si>
  <si>
    <t>HV 35-24-207 35-24P503 DIS FLUSH VLV NC</t>
  </si>
  <si>
    <t>35-24-217</t>
  </si>
  <si>
    <t>HV 35-24-217 35-24P503 DIS DRN VLV NC</t>
  </si>
  <si>
    <t>35-24NC-577</t>
  </si>
  <si>
    <t>35-24NC-577 CONSISTENCY CONTROLLER</t>
  </si>
  <si>
    <t>35-24-234</t>
  </si>
  <si>
    <t>HV 35-24-234 35-24P503 DIS LN VLV NO</t>
  </si>
  <si>
    <t>35-24XS-670</t>
  </si>
  <si>
    <t>35-24XS-670 35-24L001 SMPL CNTL</t>
  </si>
  <si>
    <t>35-24XSV-670</t>
  </si>
  <si>
    <t>35-24XSV-670 35-24L001 SMPL MAN OPERATED VLV</t>
  </si>
  <si>
    <t>35-24LV1-576</t>
  </si>
  <si>
    <t>35-24LV1-576 35-24L001 LVL CNTL VLV 1</t>
  </si>
  <si>
    <t>35-24-209</t>
  </si>
  <si>
    <t>LN 35-24-209 TUNDISH DRN</t>
  </si>
  <si>
    <t>35-24-095</t>
  </si>
  <si>
    <t>LN 35-24-095 PRESS PLPR RE-CIRC LN FROM 35-24P503</t>
  </si>
  <si>
    <t>35-24LV2-576</t>
  </si>
  <si>
    <t>35-24LV2-576 PRESS PLPR LVL CNTL VLV 2</t>
  </si>
  <si>
    <t>35-24LI-587</t>
  </si>
  <si>
    <t>35-24LI-587 PRESS PLPR PIT LVL INDICATOR</t>
  </si>
  <si>
    <t>35-24-101</t>
  </si>
  <si>
    <t>LN 35-24-101 35-24P504 SUCT</t>
  </si>
  <si>
    <t>35-24P504</t>
  </si>
  <si>
    <t>35-24P504 PRESS PLPR PIT PMP</t>
  </si>
  <si>
    <t>35-24P504 PMP UNIT</t>
  </si>
  <si>
    <t>35-24P504.1</t>
  </si>
  <si>
    <t>35-24P504.1 PRESS PLPR PIT PMP MTR</t>
  </si>
  <si>
    <t>LN 35-24-108 35-24P504 DIS</t>
  </si>
  <si>
    <t>35-24HI-591</t>
  </si>
  <si>
    <t>35-24HI-591 35-24P504 DIS CNTL</t>
  </si>
  <si>
    <t>35-24HV-591</t>
  </si>
  <si>
    <t>35-24HV-591 35-24P504 DIS VLV</t>
  </si>
  <si>
    <t>35-24KJ-589</t>
  </si>
  <si>
    <t xml:space="preserve">35-24KJ-589 PRESS PULPER START </t>
  </si>
  <si>
    <t>35-24KJ-590</t>
  </si>
  <si>
    <t>35-24KJ-590 PRESS PULPER STOP</t>
  </si>
  <si>
    <t>35-24XS-588</t>
  </si>
  <si>
    <t>35-24XS-588 PRESS PULPER MCS SIGNAL</t>
  </si>
  <si>
    <t>35-24HS-585</t>
  </si>
  <si>
    <t xml:space="preserve">35-24HS-585 PRESS PULPER START/STOP </t>
  </si>
  <si>
    <t>35-24HS-580</t>
  </si>
  <si>
    <t>35-24HS-580 PRESS PULPER SHOWER S1</t>
  </si>
  <si>
    <t>35-24HI-580</t>
  </si>
  <si>
    <t>35-24HI-580 PRESS PULPER SHOWER S1</t>
  </si>
  <si>
    <t>35-24HS-583</t>
  </si>
  <si>
    <t>35-24HS-583 PRESS PULPER SHOWER S2</t>
  </si>
  <si>
    <t>35-24HI-583</t>
  </si>
  <si>
    <t>35-24HI-583 PRESS PULPER SHOWER S2</t>
  </si>
  <si>
    <t>35-24HS-654</t>
  </si>
  <si>
    <t>35-24HS-654 PRESS PULPER SHOWER S2</t>
  </si>
  <si>
    <t>35-24HI-654</t>
  </si>
  <si>
    <t>35-24HI-654 PRESS PULPER SHOWER S2</t>
  </si>
  <si>
    <t>35-24T601</t>
  </si>
  <si>
    <t>35-24T601 COUCH PIT</t>
  </si>
  <si>
    <t>LN 35-24-113 COUCH PIT OVERFLOW</t>
  </si>
  <si>
    <t>35-24-117</t>
  </si>
  <si>
    <t>LN 35-24-117 COUCH PIT DRN</t>
  </si>
  <si>
    <t>HV 35-24-078 COUCH PIT DRN LN VLV NC</t>
  </si>
  <si>
    <t>35-24L401</t>
  </si>
  <si>
    <t>35-24L401 COUCH PIT AGI 1</t>
  </si>
  <si>
    <t>35-24-401.1</t>
  </si>
  <si>
    <t>35-24-401.1 COUCH PIT AGI 1 MTR</t>
  </si>
  <si>
    <t>35-24L403</t>
  </si>
  <si>
    <t>35-24L403 COUCH PIT AGI 2</t>
  </si>
  <si>
    <t>35-24-403.1</t>
  </si>
  <si>
    <t>35-24-403.1 COUCH PIT AGI 2 MTR</t>
  </si>
  <si>
    <t>35-24-118</t>
  </si>
  <si>
    <t>LN 35-24-118 COUCH PIT RE-CIRC</t>
  </si>
  <si>
    <t>35-24-079</t>
  </si>
  <si>
    <t>HV35-24-079 COUCH PIT RE-CIRC VLV NO</t>
  </si>
  <si>
    <t>35-24LC-609</t>
  </si>
  <si>
    <t>35-24LC-609 COUCH PIT RE-CIRC CNTL</t>
  </si>
  <si>
    <t>35-24LV3-609</t>
  </si>
  <si>
    <t>35-24LV3-609 COUCH PIT RE-CIRC AUTO VLV</t>
  </si>
  <si>
    <t>35-24-120</t>
  </si>
  <si>
    <t>LN 35-24-120 35-24P501 SUCT</t>
  </si>
  <si>
    <t>35-24-074</t>
  </si>
  <si>
    <t>HV 35-24-074 35-24P501 SUCT LN FLUSH VLV NC</t>
  </si>
  <si>
    <t>35-24-075</t>
  </si>
  <si>
    <t>HV 35-24-075 35-24P501 SUCT LN DRN VLV NO</t>
  </si>
  <si>
    <t>35-24P501</t>
  </si>
  <si>
    <t>35-24P501 COUCH PIT PMP</t>
  </si>
  <si>
    <t>35-24P501 PMP UNIT</t>
  </si>
  <si>
    <t>35-24-501.1</t>
  </si>
  <si>
    <t>35-24-501.1 COUCH PIT PMP MTR</t>
  </si>
  <si>
    <t>35-24-127</t>
  </si>
  <si>
    <t>LN 35-24-127 35-24P501 DIS</t>
  </si>
  <si>
    <t>35-24-1138</t>
  </si>
  <si>
    <t>HV 35-24-1138 35-24P501 DIS LN BLEED VLV NC</t>
  </si>
  <si>
    <t>35-24-235</t>
  </si>
  <si>
    <t>HV 35-24-235 35-24P501 DIS LN VLV NO</t>
  </si>
  <si>
    <t>35-24LV1-609</t>
  </si>
  <si>
    <t>35-24LV1-609 35-24P501 DIS LN AUTO VLV</t>
  </si>
  <si>
    <t>35-24-1120</t>
  </si>
  <si>
    <t>HV 35-24-1120 35-24P501 DIS LN DRN VLV NC</t>
  </si>
  <si>
    <t>35-24-063</t>
  </si>
  <si>
    <t xml:space="preserve">HV 35-24-063 35-24P501 DIS LN FLUSH VLV NC </t>
  </si>
  <si>
    <t>35-24-119</t>
  </si>
  <si>
    <t>LN 35-24-119 35-24P502 SUCT</t>
  </si>
  <si>
    <t>35-24-1101</t>
  </si>
  <si>
    <t>HV 35-24-1101 35-24P502 SUCT LN FLUSH VLV NC</t>
  </si>
  <si>
    <t>35-24-1125</t>
  </si>
  <si>
    <t>HV 35-24-1125 35-24P502 SUCT LN DRN VLV NC</t>
  </si>
  <si>
    <t>35-24P502</t>
  </si>
  <si>
    <t>35-24P502 COUCH PIT TRIM PMP</t>
  </si>
  <si>
    <t>35-24P502 PMP UNIT</t>
  </si>
  <si>
    <t>35-24-502.1</t>
  </si>
  <si>
    <t>35-24-502.1 COUCH PIT TRIM PMP MTR</t>
  </si>
  <si>
    <t>LN 35-24-126 35-24P502 DIS</t>
  </si>
  <si>
    <t>HV 35-24-072 35-24P502 DIS LN BLEED VLV NC</t>
  </si>
  <si>
    <t>HV 35-24-062 35-24P502 DIS LN FLUSH VLV NC</t>
  </si>
  <si>
    <t>HV 35-24-065 35-24P502 DIS LN DRN VLV NC</t>
  </si>
  <si>
    <t>35-24LV2-609</t>
  </si>
  <si>
    <t>35-24LV2-609 35-24P502 DIS LN AUTO VLV</t>
  </si>
  <si>
    <t>35-24NI-607</t>
  </si>
  <si>
    <t>35-24NI-607 COUCH PIT CONSISTENCY</t>
  </si>
  <si>
    <t>35-24XS-671</t>
  </si>
  <si>
    <t>35-24XS-671 COUCH PIT SMPL</t>
  </si>
  <si>
    <t>35-24XSV-671</t>
  </si>
  <si>
    <t>35-24XSV-671 COUCH PIT SMPL MAN VLV</t>
  </si>
  <si>
    <t>35-24-210</t>
  </si>
  <si>
    <t>LN 35-24-210 SMPL DRAIN</t>
  </si>
  <si>
    <t>35-24XS-600</t>
  </si>
  <si>
    <t xml:space="preserve">35-24XS-600 COUCH PIT MCS SIGNAL </t>
  </si>
  <si>
    <t>35-24ES-601</t>
  </si>
  <si>
    <t xml:space="preserve">35-24ES-601 COUCH PIT UTM E-STOP </t>
  </si>
  <si>
    <t>35-24KJ-602</t>
  </si>
  <si>
    <t>35-24KJ-602 COUCH PIT START</t>
  </si>
  <si>
    <t>35-24KJ-603</t>
  </si>
  <si>
    <t>35-24KJ-603 COUCH PIT STOP</t>
  </si>
  <si>
    <t>35-24HS-664</t>
  </si>
  <si>
    <t>35-24HS-664 COUCH PIT START/STOP</t>
  </si>
  <si>
    <t>35-24HS-597</t>
  </si>
  <si>
    <t>35-24HS-597 COUCH PIT SHOWER S1</t>
  </si>
  <si>
    <t>35-24HI-597</t>
  </si>
  <si>
    <t>35-24HI-597 COUCH PIT SHOWER S1</t>
  </si>
  <si>
    <t>35-24T602</t>
  </si>
  <si>
    <t>35-24T602 BROKE STORAGE TOWER</t>
  </si>
  <si>
    <t>LN 35-24-009 35-24T602 BIOCIDE INLET</t>
  </si>
  <si>
    <t>35-24LI-611</t>
  </si>
  <si>
    <t xml:space="preserve">35-24LI-611 35-24T602 LVL INDICATOR </t>
  </si>
  <si>
    <t>LN 35-24-131 35-24T602 OVERFLOW</t>
  </si>
  <si>
    <t>LN 35-24-130 35-24T602 DRN</t>
  </si>
  <si>
    <t>35-24-056</t>
  </si>
  <si>
    <t>HV 35-24-056 35-24T602 DRN VLV NC</t>
  </si>
  <si>
    <t>35-24L402</t>
  </si>
  <si>
    <t>35-24L402 BROKE STORAGE TOWER AGI</t>
  </si>
  <si>
    <t>35-24-402.1</t>
  </si>
  <si>
    <t>35-24-402.1 BROKE STORAGE TOWER AGI MTR</t>
  </si>
  <si>
    <t>35-24-132</t>
  </si>
  <si>
    <t>LN 35-24-132 35-24P514 SUCT</t>
  </si>
  <si>
    <t>35-24-057</t>
  </si>
  <si>
    <t>HV 35-24-057 35-24P514 SUCT LN VLV NO</t>
  </si>
  <si>
    <t>35-24-1104</t>
  </si>
  <si>
    <t>HV 35-24-1104 35-24P514 SUCT LN DRN VLV NC</t>
  </si>
  <si>
    <t>35-24P514</t>
  </si>
  <si>
    <t>35-24P514 BROKE TO OCC PMP</t>
  </si>
  <si>
    <t>35-24P514 PMP UNIT</t>
  </si>
  <si>
    <t>35-24-514.1</t>
  </si>
  <si>
    <t>35-24-514.1 BROKE TO OCC PMP MTR</t>
  </si>
  <si>
    <t>35-24FC-613</t>
  </si>
  <si>
    <t>35-24FC-613 FLOW CONTROLLER</t>
  </si>
  <si>
    <t>35-24-135</t>
  </si>
  <si>
    <t>LN 35-24-135 35-24P514 DIS</t>
  </si>
  <si>
    <t>HV 35-24-049 35-24P514 DIS LN BLEED VLV NC</t>
  </si>
  <si>
    <t xml:space="preserve">STOD206339 , STOD206342 </t>
  </si>
  <si>
    <t>35-24-048</t>
  </si>
  <si>
    <t>HV 35-24-048 35-24P514 DIS LN DRN VLV NC</t>
  </si>
  <si>
    <t>HV 35-24-209 35-24P514 DIS LN FLUSH NC</t>
  </si>
  <si>
    <t>35-24HI-615</t>
  </si>
  <si>
    <t>35-24HI-615 35-24P514 DIS LN AUTO VLV CNTL</t>
  </si>
  <si>
    <t>35-24HV-615</t>
  </si>
  <si>
    <t>35-24HV-615 35-24P514 DIS LN AUTO VLV</t>
  </si>
  <si>
    <t>35-24-133</t>
  </si>
  <si>
    <t>LN 35-24-133 35-24P512 SUCT</t>
  </si>
  <si>
    <t>35-24-058</t>
  </si>
  <si>
    <t>HV 35-24-058 35-24P512 SUCT LN VLV NO</t>
  </si>
  <si>
    <t>35-24-055</t>
  </si>
  <si>
    <t>HV 35-24-055 35-24P512 SUCT LN DRN NC</t>
  </si>
  <si>
    <t>35-24-1132</t>
  </si>
  <si>
    <t>HV 35-24-1132 35-24P512 SUCT LN FLUSH NO</t>
  </si>
  <si>
    <t>35-24P512</t>
  </si>
  <si>
    <t>35-24P512 BROKE STORAGE TOWER PMP</t>
  </si>
  <si>
    <t>35-24P512 PMP UNIT</t>
  </si>
  <si>
    <t>35-24-512.1</t>
  </si>
  <si>
    <t>35-24-512.1 BROKE STORAGE TOWER PMP MTR</t>
  </si>
  <si>
    <t>35-24FC-619</t>
  </si>
  <si>
    <t xml:space="preserve">35-24FC-619 FLOW CONTROLLER </t>
  </si>
  <si>
    <t>LN 35-24-140 35-24P512 DIS</t>
  </si>
  <si>
    <t>35-24-045</t>
  </si>
  <si>
    <t>HV 35-24-045 35-24P512 DIS LN BLEED VLV NC</t>
  </si>
  <si>
    <t>35-24HI-618</t>
  </si>
  <si>
    <t>35-24HI-618 35-24P512 DIS LN AUTO VLV CNTL</t>
  </si>
  <si>
    <t>35-24HV-618</t>
  </si>
  <si>
    <t>35-24HV-618 35-24P512 DIS LN AUTO VLV</t>
  </si>
  <si>
    <t>HV 35-24-043 35-24P512 DIS LN DRN VLV NC</t>
  </si>
  <si>
    <t>HV 35-24-044 35-24P512 DIS LN FLUSH VLV NC</t>
  </si>
  <si>
    <t>35-24-1097</t>
  </si>
  <si>
    <t>HV 35-24-1097 35-24P512 DIS LN VLV NO</t>
  </si>
  <si>
    <t>35-24XSV-672</t>
  </si>
  <si>
    <t>35-24XSV-672 35-24T602 SMPL MAN OP VLV</t>
  </si>
  <si>
    <t>35-24XS-672</t>
  </si>
  <si>
    <t>35-24XS-672 35-24T602 SMPL CNTL</t>
  </si>
  <si>
    <t>35-24-142</t>
  </si>
  <si>
    <t>LN 35-24-142 BROKE STORAGE TO 35-24T605</t>
  </si>
  <si>
    <t>35-24-038</t>
  </si>
  <si>
    <t xml:space="preserve">35-24-038 BROKE STORAGE INLET NRV </t>
  </si>
  <si>
    <t>35-24L002</t>
  </si>
  <si>
    <t xml:space="preserve">35-24L002 BROKE THICKENER </t>
  </si>
  <si>
    <t>35-24L002.1</t>
  </si>
  <si>
    <t>35-24L002.1 BROKE THICKENER GB</t>
  </si>
  <si>
    <t>35-24-002.1</t>
  </si>
  <si>
    <t>35-24-002.1 BROKE THICKENER GB MTR</t>
  </si>
  <si>
    <t>35-24SH-625</t>
  </si>
  <si>
    <t>35-24SH-625 SPEED HIGH</t>
  </si>
  <si>
    <t>35-24-149</t>
  </si>
  <si>
    <t>LN 35-24-149 35-24T604 BROKE FILTRATE</t>
  </si>
  <si>
    <t>35-24-150</t>
  </si>
  <si>
    <t>LN 35-24-150 35-24T604 BROKE FILTRATE</t>
  </si>
  <si>
    <t>35-24LC-622</t>
  </si>
  <si>
    <t xml:space="preserve">35-24LC-622 LVL AUTO CNTL VLV </t>
  </si>
  <si>
    <t>35-24LV-622</t>
  </si>
  <si>
    <t>35-24LV-622 LVL CNTL VLV</t>
  </si>
  <si>
    <t>35-24-1110</t>
  </si>
  <si>
    <t xml:space="preserve">35-24-1110 LN BLEED VLV </t>
  </si>
  <si>
    <t>35-24-1136</t>
  </si>
  <si>
    <t>HV 35-24-1136 35-24T604 DIS VLV NO</t>
  </si>
  <si>
    <t>35-24-151</t>
  </si>
  <si>
    <t>LN 35-24-151 35-24T605 THICKENED BROKE</t>
  </si>
  <si>
    <t>35-24-152</t>
  </si>
  <si>
    <t>LN 35-24-152 35-24T605 THICKENED BROKE</t>
  </si>
  <si>
    <t>35-24HS-626</t>
  </si>
  <si>
    <t>35-24HS-626 35-24T605 AUTO VLV CNTL</t>
  </si>
  <si>
    <t>35-24HV-626</t>
  </si>
  <si>
    <t xml:space="preserve">35-24HV-626 35-24T605 AUTO VLV </t>
  </si>
  <si>
    <t>35-24KJ-686</t>
  </si>
  <si>
    <t xml:space="preserve">35-24KJ-686 BROKE THICKENER START SEQUENCE </t>
  </si>
  <si>
    <t>35-24KJ-687</t>
  </si>
  <si>
    <t xml:space="preserve">35-24KJ-687 BROKE THICKENER STOP SEQUENCE </t>
  </si>
  <si>
    <t>35-24ES-662</t>
  </si>
  <si>
    <t xml:space="preserve">35-24ES-662 BROKE THICKENER E-STOP </t>
  </si>
  <si>
    <t>35-24HS-629</t>
  </si>
  <si>
    <t>35-24HS-629 BROKE THICKENER LOCAL/REMOTE</t>
  </si>
  <si>
    <t>35-24HS-630</t>
  </si>
  <si>
    <t xml:space="preserve">35-24HS-630 BROKE THICKENER JOGGING </t>
  </si>
  <si>
    <t>35-24ES-663</t>
  </si>
  <si>
    <t xml:space="preserve">35-24ES-663 BROKE THICKENER E-STOP </t>
  </si>
  <si>
    <t>35-24T604</t>
  </si>
  <si>
    <t>35-24T604 BROKE FILTRATE TNK</t>
  </si>
  <si>
    <t>35-24-148</t>
  </si>
  <si>
    <t>LN 35-24-148 35-24T604 DRN</t>
  </si>
  <si>
    <t>35-24-035</t>
  </si>
  <si>
    <t>HV 35-24-035 35-24T604 DRN VLV NC</t>
  </si>
  <si>
    <t>35-24-146</t>
  </si>
  <si>
    <t>LN 35-24-146 35-24T604 OVERFLOW</t>
  </si>
  <si>
    <t>LN 35-24-145 35-24P516 SUCT</t>
  </si>
  <si>
    <t>35-24-036</t>
  </si>
  <si>
    <t>HV 35-24-036 35-24P516 SUCT LN VLV NO</t>
  </si>
  <si>
    <t>35-24-1117</t>
  </si>
  <si>
    <t>HV 35-24-1117 35-24P516 SUCT LN DRN VLV NC</t>
  </si>
  <si>
    <t>35-24P516</t>
  </si>
  <si>
    <t>35-24P516 BROKE FILTRATE TNK PMP</t>
  </si>
  <si>
    <t>35-24P516 PMP UNIT</t>
  </si>
  <si>
    <t>35-24-516.1</t>
  </si>
  <si>
    <t>35-24-516.1 BROKE FILTRATE TNK PMP MTR</t>
  </si>
  <si>
    <t>35-24-144</t>
  </si>
  <si>
    <t>LN 35-24-144 35-24P516 DIS</t>
  </si>
  <si>
    <t xml:space="preserve">STOD206338 , STOD206339 </t>
  </si>
  <si>
    <t>35-24-200</t>
  </si>
  <si>
    <t>HV 35-24-200 35-24P516 DIS LN DRN VLV NC</t>
  </si>
  <si>
    <t>53-24LC-621</t>
  </si>
  <si>
    <t>53-24LC-621 35-24T604 LVL CNTL</t>
  </si>
  <si>
    <t>53-24LV-621</t>
  </si>
  <si>
    <t>53-24LV-621 35-24P516 DIS AUTO VLV</t>
  </si>
  <si>
    <t>HV 35-24-210 35-24P516 DIS LN FLUSH VLV NC</t>
  </si>
  <si>
    <t>35-24T605</t>
  </si>
  <si>
    <t>35-24T605 THICKENED BROKE TNK</t>
  </si>
  <si>
    <t>35-24LC624</t>
  </si>
  <si>
    <t>35-24LC624 THICKENED BROKE TNK LVL CNTL</t>
  </si>
  <si>
    <t>35-24-154</t>
  </si>
  <si>
    <t>35-24-154 35-24T605 OVERFLOW</t>
  </si>
  <si>
    <t>35-24-155</t>
  </si>
  <si>
    <t>LN 35-24-155 35-24T605 DRN</t>
  </si>
  <si>
    <t>HV 35-24-025 35-24T605 DRN VLV NC</t>
  </si>
  <si>
    <t>35-24L405</t>
  </si>
  <si>
    <t>35-24L405 THICKENED BROKE TNK AGI</t>
  </si>
  <si>
    <t>35-24-405.1</t>
  </si>
  <si>
    <t>35-24-405.1 THICKENED BROKE TNK AGI MTR</t>
  </si>
  <si>
    <t>35-24-158</t>
  </si>
  <si>
    <t>LN 35-24-158 35-24P513 SUCT</t>
  </si>
  <si>
    <t>35-24-026</t>
  </si>
  <si>
    <t>HV 35-24-026 35-24P513 SUCT LN VLV NO</t>
  </si>
  <si>
    <t>35-24-1137</t>
  </si>
  <si>
    <t>HV 35-24-1137 35-24P513 SUCT LN DRN VLV NC</t>
  </si>
  <si>
    <t>35-24P513</t>
  </si>
  <si>
    <t>35-24P513 BROKE SCREENING FEED PMP</t>
  </si>
  <si>
    <t>35-24P513 PMP UNIT</t>
  </si>
  <si>
    <t>35-24-513.1</t>
  </si>
  <si>
    <t>35-24-513.1 BROKE SCREENING FEED PMP MTR</t>
  </si>
  <si>
    <t>35-24FC-631</t>
  </si>
  <si>
    <t>35-24FC-631 BROKE SCREENING FEED PMP FLOW CONT</t>
  </si>
  <si>
    <t>LN 35-24-161 35-24P513 DIS</t>
  </si>
  <si>
    <t>35-24-1091</t>
  </si>
  <si>
    <t>HV 35-24-1091 35-24P513 DIS LN FLUSH VLV NC</t>
  </si>
  <si>
    <t>HV 35-24-019 35-24P513 DIS LN DRN VLV NC</t>
  </si>
  <si>
    <t>35-24HI-636</t>
  </si>
  <si>
    <t>35-24HI-636 35-24P513 DIS LN INSTRUMENT</t>
  </si>
  <si>
    <t>35-24HV-636</t>
  </si>
  <si>
    <t>35-24HV-636 35-24P513 DIS LN AUTO VLV</t>
  </si>
  <si>
    <t>35-24-213</t>
  </si>
  <si>
    <t>HV 35-24-213 35-24P513 DIS LN DRN VLV NC</t>
  </si>
  <si>
    <t>35-24XV-673</t>
  </si>
  <si>
    <t xml:space="preserve">35-24XV-673 SAMPLER VLV </t>
  </si>
  <si>
    <t>35-24XS-673</t>
  </si>
  <si>
    <t xml:space="preserve">35-24XS-673 SAMPLER CONTROLLER </t>
  </si>
  <si>
    <t>35-24-212</t>
  </si>
  <si>
    <t>35-24-212 SAMPLER DRAIN LN</t>
  </si>
  <si>
    <t>35-24PI-639</t>
  </si>
  <si>
    <t xml:space="preserve">35-24PI-639 PRESSURE INDICATOR </t>
  </si>
  <si>
    <t>35-24PDI-639</t>
  </si>
  <si>
    <t xml:space="preserve">35-24PDI-639 PRESSURE DIFFERENTIAL INDICATOR </t>
  </si>
  <si>
    <t>35-24-156</t>
  </si>
  <si>
    <t>LN 35-24-156 35-24P515 SUCT</t>
  </si>
  <si>
    <t>HV 35-24-027 35-24P515 SUCT LN VLV NO</t>
  </si>
  <si>
    <t>35-24-024</t>
  </si>
  <si>
    <t>HV 35-24-024 35-24P515 SUCT LN DRN VLV NC</t>
  </si>
  <si>
    <t>35-24P515</t>
  </si>
  <si>
    <t>35-24P515 BROKE CIRCULATION PMP</t>
  </si>
  <si>
    <t>35-24P515 PMP UNIT</t>
  </si>
  <si>
    <t>35-24-515.1</t>
  </si>
  <si>
    <t>35-24-515.1 BROKE CIRCULATION PMP MTR</t>
  </si>
  <si>
    <t>35-24-159</t>
  </si>
  <si>
    <t>LN 35-24-159 35-24P515 DIS</t>
  </si>
  <si>
    <t>35-24-201</t>
  </si>
  <si>
    <t>HV 35-24-201 35-24P515 DIS LN FLUSH VLV NC</t>
  </si>
  <si>
    <t>35-24HI-633</t>
  </si>
  <si>
    <t>35-24HI-633 35-24P515 DIS LN INSTRUMENT</t>
  </si>
  <si>
    <t>35-24HV-633</t>
  </si>
  <si>
    <t>35-24HV-633 35-24P515 DIS LN AUTO VLV</t>
  </si>
  <si>
    <t>35-24-1093</t>
  </si>
  <si>
    <t>HV 35-24-1093 35-24P515 DIS LN DRN VLV NC</t>
  </si>
  <si>
    <t xml:space="preserve">35-24FC-631 FLOW CONTROLLER </t>
  </si>
  <si>
    <t>35-24L010</t>
  </si>
  <si>
    <t xml:space="preserve">35-24L010 BROKE SCREEN </t>
  </si>
  <si>
    <t>35-24SC-645</t>
  </si>
  <si>
    <t>35-24SC-645 BROKE SCREEN SPEED SOFTWARE LOOP</t>
  </si>
  <si>
    <t>35-24-010.1</t>
  </si>
  <si>
    <t>35-24-010.1 BROKE SCREEN MTR</t>
  </si>
  <si>
    <t>35-24-166</t>
  </si>
  <si>
    <t>LN 35-24-166 BROKE SCREEN DRN</t>
  </si>
  <si>
    <t>35-24-015</t>
  </si>
  <si>
    <t>HV 35-24-015 BROKE SCREEN DRN VLV NC</t>
  </si>
  <si>
    <t>35-24-168</t>
  </si>
  <si>
    <t>LN 35-24-168 BROKE SCREEN REJECT</t>
  </si>
  <si>
    <t>35-24FV-644</t>
  </si>
  <si>
    <t>35-24FV-644 BROKE SCREEN REJECT FLOW CNTL VLV</t>
  </si>
  <si>
    <t>35-24-FFC-644</t>
  </si>
  <si>
    <t xml:space="preserve">35-24-FFC-644 BROKE SCREEN REJECT FLOW </t>
  </si>
  <si>
    <t>HV 35-24-013 BROKE SCREEN REJECT LN FLUSH VLV NC</t>
  </si>
  <si>
    <t>35-24-169</t>
  </si>
  <si>
    <t>LN 35-24-169 BROKE SCREEN DEARATION</t>
  </si>
  <si>
    <t>35-24HV-642</t>
  </si>
  <si>
    <t>35-24HV-642 BROKE SCREEN DEARATION LN ON/OFF VLV</t>
  </si>
  <si>
    <t>35-24HS-642</t>
  </si>
  <si>
    <t xml:space="preserve">35-24HS-642 BROKE SCREEN DEARATION </t>
  </si>
  <si>
    <t>35-24-170</t>
  </si>
  <si>
    <t>LN 35-24-170 BROKE SCREEN ACCEPT FLOW</t>
  </si>
  <si>
    <t>35-24FV-640</t>
  </si>
  <si>
    <t>35-24FV-640 BROKE SCREEN ACCEPT FLOW CNTL VLV</t>
  </si>
  <si>
    <t>35-24FC-640</t>
  </si>
  <si>
    <t>35-24FC-640 BROKE SCREEN ACCEPT FLOW</t>
  </si>
  <si>
    <t>35-24PI-641</t>
  </si>
  <si>
    <t xml:space="preserve">35-24PI-641 PRESSURE INDICATOR </t>
  </si>
  <si>
    <t>35-24KJ-688</t>
  </si>
  <si>
    <t xml:space="preserve">35-24KJ-688 BROKE SCREENING START SEQUENCE </t>
  </si>
  <si>
    <t>35-24KJ-689</t>
  </si>
  <si>
    <t xml:space="preserve">35-24KJ-688 BROKE SCREENING STOP SEQUENCE </t>
  </si>
  <si>
    <t>35-24T606</t>
  </si>
  <si>
    <t>35-24T606 BROKE REJECT TNK</t>
  </si>
  <si>
    <t>35-24LC-646</t>
  </si>
  <si>
    <t xml:space="preserve">35-24LC-646 BROKE REJECT TNK LC </t>
  </si>
  <si>
    <t>35-24L404</t>
  </si>
  <si>
    <t>35-24L404 BROKE REJECT TNK AGI</t>
  </si>
  <si>
    <t>35-24-404.1</t>
  </si>
  <si>
    <t>35-24-404.1 BROKE REJECT TNK AGI MTR</t>
  </si>
  <si>
    <t>35-24-172</t>
  </si>
  <si>
    <t>LN 35-24-172 35-24T606 DRN</t>
  </si>
  <si>
    <t>HV 35-24-011 35-24T606 DRN VLV NC</t>
  </si>
  <si>
    <t>35-24-174</t>
  </si>
  <si>
    <t>LN 35-24-174 35-24P518 SUCT</t>
  </si>
  <si>
    <t>35-24-1121</t>
  </si>
  <si>
    <t>HV 35-24-1121 35-24P518 SUCT LN VLV NO</t>
  </si>
  <si>
    <t>35-24-008</t>
  </si>
  <si>
    <t>HV 35-24-008 35-24P518 SUCT LN FLUSH NC</t>
  </si>
  <si>
    <t>HV 35-24-009 35-24P518 SUCT LN DRN NC</t>
  </si>
  <si>
    <t>35-24P518</t>
  </si>
  <si>
    <t>35-24P518 BROKE REJECT PMP</t>
  </si>
  <si>
    <t>35-24P518 PMP UNIT</t>
  </si>
  <si>
    <t>35-24-518.1</t>
  </si>
  <si>
    <t>35-24-518.1 BROKE REJECT PMP MTR</t>
  </si>
  <si>
    <t>LN 35-24-180 35-24P518 DIS</t>
  </si>
  <si>
    <t>35-24-006</t>
  </si>
  <si>
    <t>HV 35-24-006 35-24P518 DIS LN DRN 1 NC</t>
  </si>
  <si>
    <t>35-24-649</t>
  </si>
  <si>
    <t xml:space="preserve">35-24-649 BROKE REJECT TNK HI </t>
  </si>
  <si>
    <t>35-24-HV-649</t>
  </si>
  <si>
    <t>35-24-HV-649 35-24P518 DIS LN VLV</t>
  </si>
  <si>
    <t>HV 35-24-214 35-24P518 DIS LN DRN 2 NC</t>
  </si>
  <si>
    <t>35-24-177</t>
  </si>
  <si>
    <t>LN 35-24-173 35-24T606 OVERFLOW</t>
  </si>
  <si>
    <t>35-24T607</t>
  </si>
  <si>
    <t>35-24T607 BROKE DOSING TNK</t>
  </si>
  <si>
    <t>35-24-650</t>
  </si>
  <si>
    <t xml:space="preserve">35-24-650 BROKE DOSING TNK LC </t>
  </si>
  <si>
    <t>35-24L407</t>
  </si>
  <si>
    <t>35-24L407 BROKE DOSING TNK AGI</t>
  </si>
  <si>
    <t>35-24-407.1</t>
  </si>
  <si>
    <t>35-24-407.1 BROKE DOSING TNK AGI MTR</t>
  </si>
  <si>
    <t>35-24-178</t>
  </si>
  <si>
    <t>LN 35-24-178 35-24P517 SUCT</t>
  </si>
  <si>
    <t>35-24-004</t>
  </si>
  <si>
    <t>HV 35-24-004 35-24P517 SUCT VLV NO</t>
  </si>
  <si>
    <t>35-24P517</t>
  </si>
  <si>
    <t>35-24P517 BROKE DOSING TNK PMP</t>
  </si>
  <si>
    <t>35-24P517 PMP UNIT</t>
  </si>
  <si>
    <t>35-24-517.1</t>
  </si>
  <si>
    <t>35-24-517.1 BROKE DOSING TNK PMP MTR</t>
  </si>
  <si>
    <t>LN 35-24-181 35-24P517 DIS</t>
  </si>
  <si>
    <t xml:space="preserve">STOD206336, STOD206339 </t>
  </si>
  <si>
    <t>HV 35-24-002 35-24P517 DIS DRN VLV 1 NC</t>
  </si>
  <si>
    <t>35-24-001</t>
  </si>
  <si>
    <t>HV 35-24-001 35-24P517 DIS VLV NO</t>
  </si>
  <si>
    <t>35-24-215</t>
  </si>
  <si>
    <t>HV 35-24-215 35-24P517 DIS DRN VLV 2 NC</t>
  </si>
  <si>
    <t>35-24-176</t>
  </si>
  <si>
    <t>LN 35-24-176 35-24T607 DRN</t>
  </si>
  <si>
    <t>35-24-003</t>
  </si>
  <si>
    <t>HV 35-24-003 35-24T607 DRN VLV NC</t>
  </si>
  <si>
    <t>LN 35-24-177 35-24T607 TNK OVERFLOW</t>
  </si>
  <si>
    <t>LN 35-24-194 SEALING WATER TO HOSE</t>
  </si>
  <si>
    <t>35-24-195</t>
  </si>
  <si>
    <t xml:space="preserve">HV 35-24-195 SEALING WTR HOSE VLV NO  </t>
  </si>
  <si>
    <t>35-24PI-9334</t>
  </si>
  <si>
    <t xml:space="preserve">35-24PI-9334 SEALING WTR PRESSURE INDICATOR </t>
  </si>
  <si>
    <t>35-24FI-9335</t>
  </si>
  <si>
    <t xml:space="preserve">35-24FI-9335 SEALING WTR FLOW INDICATOR </t>
  </si>
  <si>
    <t>35-24FS-678</t>
  </si>
  <si>
    <t xml:space="preserve">35-24FS-678 SEALING WATER FLOW SWITCH </t>
  </si>
  <si>
    <t>LN 35-24-195 SEALING WATER TO HOSE</t>
  </si>
  <si>
    <t>35-24-218</t>
  </si>
  <si>
    <t xml:space="preserve">HV 35-24-218 SEALING WTR HOSE VLV NO  </t>
  </si>
  <si>
    <t>35-24PI-9336</t>
  </si>
  <si>
    <t xml:space="preserve">35-24PI-9336 SEALING WTR PRESSURE INDICATOR </t>
  </si>
  <si>
    <t>35-24FI-9337</t>
  </si>
  <si>
    <t xml:space="preserve">35-24FI-9337 SEALING WTR FLOW INDICATOR </t>
  </si>
  <si>
    <t>35-24FS-679</t>
  </si>
  <si>
    <t xml:space="preserve">35-24FS-679 SEALING WATER FLOW SWITCH </t>
  </si>
  <si>
    <t>LN 35-24-008 SEALING WATER TO HOSE</t>
  </si>
  <si>
    <t>35-24-1089</t>
  </si>
  <si>
    <t xml:space="preserve">HV 35-24-1089 SEALING WTR HOSE VLV NO  </t>
  </si>
  <si>
    <t>35-24PI-9252</t>
  </si>
  <si>
    <t xml:space="preserve">35-24PI-9252 SEALING WTR PRESSURE INDICATOR </t>
  </si>
  <si>
    <t>35-24FI-9253</t>
  </si>
  <si>
    <t xml:space="preserve">35-24FI-9253 SEALING WTR FLOW INDICATOR </t>
  </si>
  <si>
    <t>35-24FS-506</t>
  </si>
  <si>
    <t xml:space="preserve">35-24FS-506 SEALING WATER FLOW SWITCH </t>
  </si>
  <si>
    <t>35-24-010</t>
  </si>
  <si>
    <t>35-24-1116</t>
  </si>
  <si>
    <t xml:space="preserve">HV 35-24-1116 SEALING WTR HOSE VLV NO  </t>
  </si>
  <si>
    <t>35-24PI-9254</t>
  </si>
  <si>
    <t xml:space="preserve">35-24PI-9254 SEALING WTR PRESSURE INDICATOR </t>
  </si>
  <si>
    <t>35-24FI-9255</t>
  </si>
  <si>
    <t xml:space="preserve">35-24FI-9255 SEALING WTR FLOW INDICATOR </t>
  </si>
  <si>
    <t>35-24FS-507</t>
  </si>
  <si>
    <t xml:space="preserve">35-24FS-507 SEALING WATER FLOW SWITCH </t>
  </si>
  <si>
    <t>35-24-012</t>
  </si>
  <si>
    <t>LN 35-24-012 SEALING WATER TO HOSE</t>
  </si>
  <si>
    <t>35-24-175</t>
  </si>
  <si>
    <t xml:space="preserve">HV 35-24-175 SEALING WTR HOSE VLV NO  </t>
  </si>
  <si>
    <t>35-24PI-9256</t>
  </si>
  <si>
    <t xml:space="preserve">35-24PI-9256 SEALING WTR PRESSURE INDICATOR </t>
  </si>
  <si>
    <t>35-24FI-9257</t>
  </si>
  <si>
    <t xml:space="preserve">35-24FI-9257 SEALING WTR FLOW INDICATOR </t>
  </si>
  <si>
    <t>35-24FS-512</t>
  </si>
  <si>
    <t xml:space="preserve">35-24FS-512 SEALING WATER FLOW SWITCH </t>
  </si>
  <si>
    <t>LN 35-24-024 SEALING WATER TO HOSE</t>
  </si>
  <si>
    <t>35-24-163</t>
  </si>
  <si>
    <t xml:space="preserve">HV 35-24-163 SEALING WTR HOSE VLV NO  </t>
  </si>
  <si>
    <t>35-24PI-9262</t>
  </si>
  <si>
    <t xml:space="preserve">35-24PI-9262 SEALING WTR PRESSURE INDICATOR </t>
  </si>
  <si>
    <t>35-24FI-9263</t>
  </si>
  <si>
    <t xml:space="preserve">35-24FI-9263 SEALING WTR FLOW INDICATOR </t>
  </si>
  <si>
    <t>35-24FS-521</t>
  </si>
  <si>
    <t xml:space="preserve">35-24FS-521 SEALING WATER FLOW SWITCH </t>
  </si>
  <si>
    <t xml:space="preserve">HV 35-24-159 SEALING WTR HOSE VLV NO  </t>
  </si>
  <si>
    <t>35-24PI-9264</t>
  </si>
  <si>
    <t xml:space="preserve">35-24PI-9264 SEALING WTR PRESSURE INDICATOR </t>
  </si>
  <si>
    <t>35-24FI-9265</t>
  </si>
  <si>
    <t xml:space="preserve">35-24FI-9265 SEALING WTR FLOW INDICATOR </t>
  </si>
  <si>
    <t>35-24FS-525</t>
  </si>
  <si>
    <t xml:space="preserve">35-24FS-525 SEALING WATER FLOW SWITCH </t>
  </si>
  <si>
    <t>35-24-028</t>
  </si>
  <si>
    <t>LN 35-24-028 SEALING WATER TO HOSE</t>
  </si>
  <si>
    <t>35-24-157</t>
  </si>
  <si>
    <t xml:space="preserve">HV 35-24-157 SEALING WTR HOSE VLV NO  </t>
  </si>
  <si>
    <t>35-24PI-9266</t>
  </si>
  <si>
    <t xml:space="preserve">35-24PI-9266 SEALING WTR PRESSURE INDICATOR </t>
  </si>
  <si>
    <t>35-24FI-9267</t>
  </si>
  <si>
    <t xml:space="preserve">35-24FI-9267 SEALING WTR FLOW INDICATOR </t>
  </si>
  <si>
    <t>35-24FS-527</t>
  </si>
  <si>
    <t xml:space="preserve">35-24FS-527 SEALING WATER FLOW SWITCH </t>
  </si>
  <si>
    <t>35-24-042</t>
  </si>
  <si>
    <t>LN 35-24-042 SEALING WATER TO HOSE</t>
  </si>
  <si>
    <t>35-24-1107</t>
  </si>
  <si>
    <t xml:space="preserve">HV 35-24-1107 SEALING WTR HOSE VLV NO  </t>
  </si>
  <si>
    <t>35-24PI-9270</t>
  </si>
  <si>
    <t xml:space="preserve">35-24PI-9270 SEALING WTR PRESSURE INDICATOR </t>
  </si>
  <si>
    <t>35-24FI-9271</t>
  </si>
  <si>
    <t xml:space="preserve">35-24FI-9271 SEALING WTR FLOW INDICATOR </t>
  </si>
  <si>
    <t>35-24FS-540</t>
  </si>
  <si>
    <t xml:space="preserve">35-24FS-540 SEALING WATER FLOW SWITCH </t>
  </si>
  <si>
    <t>LN 35-24-045 SEALING WATER TO HOSE</t>
  </si>
  <si>
    <t>35-24-139</t>
  </si>
  <si>
    <t xml:space="preserve">HV 35-24-139 SEALING WTR HOSE VLV NO  </t>
  </si>
  <si>
    <t>35-24PI-9272</t>
  </si>
  <si>
    <t xml:space="preserve">35-24PI-9272 SEALING WTR PRESSURE INDICATOR </t>
  </si>
  <si>
    <t>35-24FI-9273</t>
  </si>
  <si>
    <t xml:space="preserve">35-24FI-9273 SEALING WTR FLOW INDICATOR </t>
  </si>
  <si>
    <t>35-24FS-545</t>
  </si>
  <si>
    <t xml:space="preserve">35-24FS-545 SEALING WATER FLOW SWITCH </t>
  </si>
  <si>
    <t>LN 35-24-048 SEALING WATER TO HOSE</t>
  </si>
  <si>
    <t>35-24-136</t>
  </si>
  <si>
    <t xml:space="preserve">HV 35-24-136 SEALING WTR HOSE VLV NO  </t>
  </si>
  <si>
    <t>35-24PI-9274</t>
  </si>
  <si>
    <t xml:space="preserve">35-24PI-9274 SEALING WTR PRESSURE INDICATOR </t>
  </si>
  <si>
    <t>35-24FI-9275</t>
  </si>
  <si>
    <t xml:space="preserve">35-24FI-9275 SEALING WTR FLOW INDICATOR </t>
  </si>
  <si>
    <t>35-24FS-546</t>
  </si>
  <si>
    <t xml:space="preserve">35-24FS-546 SEALING WATER FLOW SWITCH </t>
  </si>
  <si>
    <t>35-24-050</t>
  </si>
  <si>
    <t>LN 35-24-050 SEALING WATER TO HOSE</t>
  </si>
  <si>
    <t>35-24PI-9276</t>
  </si>
  <si>
    <t xml:space="preserve">35-24PI-9276 SEALING WTR PRESSURE INDICATOR </t>
  </si>
  <si>
    <t>35-24FI-9277</t>
  </si>
  <si>
    <t xml:space="preserve">35-24FI-9277 SEALING WTR FLOW INDICATOR </t>
  </si>
  <si>
    <t>35-24FS-549</t>
  </si>
  <si>
    <t xml:space="preserve">35-24FS-549 SEALING WATER FLOW SWITCH </t>
  </si>
  <si>
    <t>35-24-061</t>
  </si>
  <si>
    <t>LN 35-24-061 SEALING WATER TO HOSE</t>
  </si>
  <si>
    <t>35-24-1118</t>
  </si>
  <si>
    <t xml:space="preserve">HV 35-24-1118 SEALING WTR HOSE VLV NO  </t>
  </si>
  <si>
    <t>35-24PI-9278</t>
  </si>
  <si>
    <t xml:space="preserve">35-24PI-9278 SEALING WTR PRESSURE INDICATOR </t>
  </si>
  <si>
    <t>35-24FI-9279</t>
  </si>
  <si>
    <t xml:space="preserve">35-24FI-9279 SEALING WTR FLOW INDICATOR </t>
  </si>
  <si>
    <t>35-24FS-556</t>
  </si>
  <si>
    <t xml:space="preserve">35-24FS-556 SEALING WATER FLOW SWITCH </t>
  </si>
  <si>
    <t>35-24-219</t>
  </si>
  <si>
    <t>LN 35-24-219 SEALING WATER TO HOSE</t>
  </si>
  <si>
    <t>35-24-225</t>
  </si>
  <si>
    <t xml:space="preserve">HV 35-24-225 SEALING WTR HOSE VLV NO  </t>
  </si>
  <si>
    <t>35-24PI-9338</t>
  </si>
  <si>
    <t xml:space="preserve">35-24PI-9338 SEALING WTR PRESSURE INDICATOR </t>
  </si>
  <si>
    <t>35-24FI-9339</t>
  </si>
  <si>
    <t xml:space="preserve">35-24FI-9339 SEALING WTR FLOW INDICATOR </t>
  </si>
  <si>
    <t>35-24FS-695</t>
  </si>
  <si>
    <t xml:space="preserve">35-24FS-695 SEALING WATER FLOW SWITCH </t>
  </si>
  <si>
    <t>35-24-068</t>
  </si>
  <si>
    <t>LN 35-24-068 SEALING WATER TO HOSE</t>
  </si>
  <si>
    <t xml:space="preserve">HV 35-24-119 SEALING WTR HOSE VLV NO  </t>
  </si>
  <si>
    <t>35-24PI-9280</t>
  </si>
  <si>
    <t xml:space="preserve">35-24PI-9280 SEALING WTR PRESSURE INDICATOR </t>
  </si>
  <si>
    <t>35-24FI-9281</t>
  </si>
  <si>
    <t xml:space="preserve">35-24FI-9281 SEALING WTR FLOW INDICATOR </t>
  </si>
  <si>
    <t>35-24FS-558</t>
  </si>
  <si>
    <t xml:space="preserve">35-24FS-558 SEALING WATER FLOW SWITCH </t>
  </si>
  <si>
    <t>35-24-076</t>
  </si>
  <si>
    <t>LN 35-24-076 SEALING WATER TO HOSE</t>
  </si>
  <si>
    <t>35-24-109</t>
  </si>
  <si>
    <t xml:space="preserve">HV 35-24-109 SEALING WTR HOSE VLV NO  </t>
  </si>
  <si>
    <t>35-24PI-9284</t>
  </si>
  <si>
    <t xml:space="preserve">35-24PI-9284 SEALING WTR PRESSURE INDICATOR </t>
  </si>
  <si>
    <t>35-24FI-9285</t>
  </si>
  <si>
    <t xml:space="preserve">35-24FI-9285 SEALING WTR FLOW INDICATOR </t>
  </si>
  <si>
    <t>35-24FS-567</t>
  </si>
  <si>
    <t xml:space="preserve">35-24FS-567 SEALING WATER FLOW SWITCH </t>
  </si>
  <si>
    <t>LN 35-24-079 SEALING WATER TO HOSE</t>
  </si>
  <si>
    <t>35-24-106</t>
  </si>
  <si>
    <t xml:space="preserve">HV 35-24-106 SEALING WTR HOSE VLV NO  </t>
  </si>
  <si>
    <t>35-24PI-9286</t>
  </si>
  <si>
    <t xml:space="preserve">35-24PI-9286 SEALING WTR PRESSURE INDICATOR </t>
  </si>
  <si>
    <t>35-24FI-9287</t>
  </si>
  <si>
    <t xml:space="preserve">35-24FI-9287 SEALING WTR FLOW INDICATOR </t>
  </si>
  <si>
    <t>35-24FS-568</t>
  </si>
  <si>
    <t xml:space="preserve">35-24FS-568 SEALING WATER FLOW SWITCH </t>
  </si>
  <si>
    <t>35-24-080</t>
  </si>
  <si>
    <t xml:space="preserve">LN 35-24-080 SEALING WATER TO HOSE </t>
  </si>
  <si>
    <t>35-24-104</t>
  </si>
  <si>
    <t xml:space="preserve">HV 35-24-104 SEALING WTR HOSE VLV NO  </t>
  </si>
  <si>
    <t>35-24PI-9288</t>
  </si>
  <si>
    <t xml:space="preserve">35-24PI-9288 SEALING WTR PRESSURE INDICATOR </t>
  </si>
  <si>
    <t>35-24FI-9289</t>
  </si>
  <si>
    <t xml:space="preserve">35-24FI-9289 SEALING WTR FLOW INDICATOR </t>
  </si>
  <si>
    <t>35-24FS-569</t>
  </si>
  <si>
    <t xml:space="preserve">35-24FS-569 SEALING WATER FLOW SWITCH </t>
  </si>
  <si>
    <t>35-24-097</t>
  </si>
  <si>
    <t>LN 35-24-097 SEALING WATER TO HOSE</t>
  </si>
  <si>
    <t>35-24-094</t>
  </si>
  <si>
    <t xml:space="preserve">HV 35-24-094 SEALING WTR HOSE VLV NO  </t>
  </si>
  <si>
    <t>35-24PI-9292</t>
  </si>
  <si>
    <t xml:space="preserve">35-24PI-9292 SEALING WTR PRESSURE INDICATOR </t>
  </si>
  <si>
    <t>35-24FI-9293</t>
  </si>
  <si>
    <t xml:space="preserve">35-24FI-9293 SEALING WTR FLOW INDICATOR </t>
  </si>
  <si>
    <t>35-24FS-581</t>
  </si>
  <si>
    <t xml:space="preserve">35-24FS-581 SEALING WATER FLOW SWITCH </t>
  </si>
  <si>
    <t>35-24-099</t>
  </si>
  <si>
    <t>LN 35-24-099 SEALING WATER TO HOSE</t>
  </si>
  <si>
    <t>35-24-091</t>
  </si>
  <si>
    <t xml:space="preserve">HV 35-24-091 SEALING WTR HOSE VLV NO  </t>
  </si>
  <si>
    <t>35-24PI-9294</t>
  </si>
  <si>
    <t xml:space="preserve">35-24PI-9294 SEALING WTR PRESSURE INDICATOR </t>
  </si>
  <si>
    <t>35-24FI-9295</t>
  </si>
  <si>
    <t xml:space="preserve">35-24FI-9295 SEALING WTR FLOW INDICATOR </t>
  </si>
  <si>
    <t>35-24FS-584</t>
  </si>
  <si>
    <t xml:space="preserve">35-24FS-584 SEALING WATER FLOW SWITCH </t>
  </si>
  <si>
    <t>35-24-102</t>
  </si>
  <si>
    <t>LN 35-24-102 SEALING WATER TO HOSE</t>
  </si>
  <si>
    <t>35-24-088</t>
  </si>
  <si>
    <t xml:space="preserve">HV 35-24-088 SEALING WTR HOSE VLV NO  </t>
  </si>
  <si>
    <t>35-24PI-9296</t>
  </si>
  <si>
    <t xml:space="preserve">35-24PI-9296 SEALING WTR PRESSURE INDICATOR </t>
  </si>
  <si>
    <t>35-24FI-9297</t>
  </si>
  <si>
    <t xml:space="preserve">35-24FI-9297 SEALING WTR FLOW INDICATOR </t>
  </si>
  <si>
    <t>35-24FS-586</t>
  </si>
  <si>
    <t xml:space="preserve">35-24FS-586 SEALING WATER FLOW SWITCH </t>
  </si>
  <si>
    <t>LN 35-24-104 SEALING WATER TO HOSE</t>
  </si>
  <si>
    <t>35-24-1124</t>
  </si>
  <si>
    <t xml:space="preserve">HV 35-24-1124 SEALING WTR HOSE VLV NO  </t>
  </si>
  <si>
    <t>35-24PI-9298</t>
  </si>
  <si>
    <t xml:space="preserve">35-24PI-9298 SEALING WTR PRESSURE INDICATOR </t>
  </si>
  <si>
    <t>35-24FI-9299</t>
  </si>
  <si>
    <t xml:space="preserve">35-24FI-9299 SEALING WTR FLOW INDICATOR </t>
  </si>
  <si>
    <t>35-24FS-592</t>
  </si>
  <si>
    <t xml:space="preserve">35-24FS-592 SEALING WATER FLOW SWITCH </t>
  </si>
  <si>
    <t>LN 35-24-121 SEALING WATER TO HOSE</t>
  </si>
  <si>
    <t>35-24-073</t>
  </si>
  <si>
    <t xml:space="preserve">HV 35-24-073 SEALING WTR HOSE VLV NO  </t>
  </si>
  <si>
    <t>35-24PI-9302</t>
  </si>
  <si>
    <t xml:space="preserve">35-24PI-9302 SEALING WTR PRESSURE INDICATOR </t>
  </si>
  <si>
    <t>35-24FI-9303</t>
  </si>
  <si>
    <t xml:space="preserve">35-24FI-9303 SEALING WTR FLOW INDICATOR </t>
  </si>
  <si>
    <t>35-24FS-604</t>
  </si>
  <si>
    <t xml:space="preserve">35-24FS-604 SEALING WATER FLOW SWITCH </t>
  </si>
  <si>
    <t>35-24-122</t>
  </si>
  <si>
    <t>LN 35-24-122 SEALING WATER TO HOSE</t>
  </si>
  <si>
    <t>35-24-070</t>
  </si>
  <si>
    <t xml:space="preserve">HV 35-24-070 SEALING WTR HOSE VLV NO  </t>
  </si>
  <si>
    <t>35-24PI-9304</t>
  </si>
  <si>
    <t xml:space="preserve">35-24PI-9304 SEALING WTR PRESSURE INDICATOR </t>
  </si>
  <si>
    <t>35-24FI-9305</t>
  </si>
  <si>
    <t xml:space="preserve">35-24FI-9305 SEALING WTR FLOW INDICATOR </t>
  </si>
  <si>
    <t>35-24FS-606</t>
  </si>
  <si>
    <t xml:space="preserve">35-24FS-606 SEALING WATER FLOW SWITCH </t>
  </si>
  <si>
    <t xml:space="preserve">LN 35-24-123 SEALING WATER TO HOSE </t>
  </si>
  <si>
    <t>35-24-1103</t>
  </si>
  <si>
    <t xml:space="preserve">HV 35-24-1103 SEALING WTR HOSE VLV NO  </t>
  </si>
  <si>
    <t>35-24PI-9306</t>
  </si>
  <si>
    <t xml:space="preserve">35-24PI-9306 SEALING WTR PRESSURE INDICATOR </t>
  </si>
  <si>
    <t>35-24FI-9307</t>
  </si>
  <si>
    <t xml:space="preserve">35-24FI-9307 SEALING WTR FLOW INDICATOR </t>
  </si>
  <si>
    <t>35-24FS-608</t>
  </si>
  <si>
    <t xml:space="preserve">35-24FS-608 SEALING WATER FLOW SWITCH </t>
  </si>
  <si>
    <t>35-24-125</t>
  </si>
  <si>
    <t xml:space="preserve">35-24-125 SEALING WATER TO HOSE LN </t>
  </si>
  <si>
    <t>35-24-1126</t>
  </si>
  <si>
    <t xml:space="preserve">HV 35-24-1126 SEALING WTR HOSE VLV NO  </t>
  </si>
  <si>
    <t>35-24PI-9308</t>
  </si>
  <si>
    <t xml:space="preserve">35-24PI-9308 SEALING WTR PRESSURE INDICATOR </t>
  </si>
  <si>
    <t>35-24FI-9309</t>
  </si>
  <si>
    <t xml:space="preserve">35-24FI-9309 SEALING WTR FLOW INDICATOR </t>
  </si>
  <si>
    <t>35-24FS-610</t>
  </si>
  <si>
    <t xml:space="preserve">35-24FS-610 SEALING WATER FLOW SWITCH </t>
  </si>
  <si>
    <t>35-24-128</t>
  </si>
  <si>
    <t>LN 35-24-128 SEALING WATER 35-24LI-611</t>
  </si>
  <si>
    <t xml:space="preserve">HV 35-24-061 SEALING WTR 35-24LI-611 VLV NO  </t>
  </si>
  <si>
    <t>LN 35-24-129 SEALING WATER TO HOSE</t>
  </si>
  <si>
    <t>35-24-059</t>
  </si>
  <si>
    <t xml:space="preserve">HV 35-24-059 SEALING WTR HOSE VLV NO  </t>
  </si>
  <si>
    <t>35-24PI-9310</t>
  </si>
  <si>
    <t xml:space="preserve">35-24PI-9310 SEALING WTR PRESSURE INDICATOR </t>
  </si>
  <si>
    <t>35-24FI-9311</t>
  </si>
  <si>
    <t xml:space="preserve">35-24FI-9311 SEALING WTR FLOW INDICATOR </t>
  </si>
  <si>
    <t>35-24FS-612</t>
  </si>
  <si>
    <t xml:space="preserve">35-24FS-612 SEALING WATER FLOW SWITCH </t>
  </si>
  <si>
    <t>LN 35-24-136 SEALING WATER TO HOSE</t>
  </si>
  <si>
    <t xml:space="preserve">HV 35-24-050 SEALING WTR HOSE VLV NO  </t>
  </si>
  <si>
    <t>35-24PI-9312</t>
  </si>
  <si>
    <t xml:space="preserve">35-24PI-9312 SEALING WTR PRESSURE INDICATOR </t>
  </si>
  <si>
    <t>35-24FI-9313</t>
  </si>
  <si>
    <t xml:space="preserve">35-24FI-9313 SEALING WTR FLOW INDICATOR </t>
  </si>
  <si>
    <t>35-24FS-614</t>
  </si>
  <si>
    <t xml:space="preserve">35-24FS-614 SEALING WATER FLOW SWITCH </t>
  </si>
  <si>
    <t>35-24-138</t>
  </si>
  <si>
    <t>LN 35-24-138 SEALING WATER TO HOSE</t>
  </si>
  <si>
    <t xml:space="preserve">HV 35-24-046 SEALING WTR HOSE VLV NO  </t>
  </si>
  <si>
    <t>35-24PI-9314</t>
  </si>
  <si>
    <t xml:space="preserve">35-24PI-9314 SEALING WTR PRESSURE INDICATOR </t>
  </si>
  <si>
    <t>35-24FI-9315</t>
  </si>
  <si>
    <t xml:space="preserve">35-24FI-9315 SEALING WTR FLOW INDICATOR </t>
  </si>
  <si>
    <t>35-24FS-617</t>
  </si>
  <si>
    <t xml:space="preserve">35-24FS-617 SEALING WATER FLOW SWITCH </t>
  </si>
  <si>
    <t>35-24-153</t>
  </si>
  <si>
    <t>LN 35-24-153 SEALING WATER TO HOSE</t>
  </si>
  <si>
    <t>35-24-1134</t>
  </si>
  <si>
    <t xml:space="preserve">HV 35-24-1134 SEALING WTR HOSE VLV NO  </t>
  </si>
  <si>
    <t>35-24PI-9318</t>
  </si>
  <si>
    <t xml:space="preserve">35-24PI-9318 SEALING WTR PRESSURE INDICATOR </t>
  </si>
  <si>
    <t>35-24FI-9319</t>
  </si>
  <si>
    <t xml:space="preserve">35-24FI-9319 SEALING WTR FLOW INDICATOR </t>
  </si>
  <si>
    <t>35-24FS-627</t>
  </si>
  <si>
    <t xml:space="preserve">35-24FS-627 SEALING WATER FLOW SWITCH </t>
  </si>
  <si>
    <t>LN 35-24-157 SEALING WATER TO HOSE</t>
  </si>
  <si>
    <t>35-24-022</t>
  </si>
  <si>
    <t xml:space="preserve">HV 35-24-022 SEALING WTR HOSE VLV NO  </t>
  </si>
  <si>
    <t>35-24PI-9320</t>
  </si>
  <si>
    <t xml:space="preserve">35-24PI-9320 SEALING WTR PRESSURE INDICATOR </t>
  </si>
  <si>
    <t>35-24FI-9321</t>
  </si>
  <si>
    <t xml:space="preserve">35-24FI-9321 SEALING WTR FLOW INDICATOR </t>
  </si>
  <si>
    <t>35-24FS-632</t>
  </si>
  <si>
    <t xml:space="preserve">35-24FS-632 SEALING WATER FLOW SWITCH </t>
  </si>
  <si>
    <t xml:space="preserve">LN 35-24-160 SEALING WATER TO HOSE </t>
  </si>
  <si>
    <t>35-24-020</t>
  </si>
  <si>
    <t xml:space="preserve">HV 35-24-020 SEALING WTR HOSE VLV NO  </t>
  </si>
  <si>
    <t>35-24PI-9322</t>
  </si>
  <si>
    <t xml:space="preserve">35-24PI-9322 SEALING WTR PRESSURE INDICATOR </t>
  </si>
  <si>
    <t>35-24FI-9323</t>
  </si>
  <si>
    <t xml:space="preserve">35-24FI-9323 SEALING WTR FLOW INDICATOR </t>
  </si>
  <si>
    <t>35-24FS-635</t>
  </si>
  <si>
    <t xml:space="preserve">35-24FS-635 SEALING WATER FLOW SWITCH </t>
  </si>
  <si>
    <t>LN 35-24-163 SEALING WATER TO BROKE THICKENER</t>
  </si>
  <si>
    <t>35-24HV-628</t>
  </si>
  <si>
    <t xml:space="preserve">35-24HV-628 35-24L002 SEALING WTR VLV </t>
  </si>
  <si>
    <t>35-24HS-628</t>
  </si>
  <si>
    <t xml:space="preserve">35-24HS-628 35-24L002 SEALING WTR AUTO VLV </t>
  </si>
  <si>
    <t>HV 35-24-029 SEALING WTR VLV NC</t>
  </si>
  <si>
    <t>35-24-032</t>
  </si>
  <si>
    <t>HV 35-24-032 SEALING WTR VLV NO</t>
  </si>
  <si>
    <t>35-24-033</t>
  </si>
  <si>
    <t>35-24-033 35-24L002 SEALING WTR INLET VLV NO</t>
  </si>
  <si>
    <t>35-24-167</t>
  </si>
  <si>
    <t xml:space="preserve">LN 35-24-167 SEALING WATER TO HOSE </t>
  </si>
  <si>
    <t>35-24-014</t>
  </si>
  <si>
    <t xml:space="preserve">HV 35-24-014 SEALING WTR HOSE VLV NO  </t>
  </si>
  <si>
    <t>35-24PI-9324</t>
  </si>
  <si>
    <t xml:space="preserve">35-24PI-9324 SEALING WTR PRESSURE INDICATOR </t>
  </si>
  <si>
    <t>35-24FI-9325</t>
  </si>
  <si>
    <t xml:space="preserve">35-24FI-9325 SEALING WTR FLOW INDICATOR </t>
  </si>
  <si>
    <t>35-24FS-643</t>
  </si>
  <si>
    <t xml:space="preserve">35-24FS-643 SEALING WATER FLOW SWITCH </t>
  </si>
  <si>
    <t>35-24-171</t>
  </si>
  <si>
    <t>LN 35-24-171 SEALING WATER TO HOSE</t>
  </si>
  <si>
    <t xml:space="preserve">HV 35-24-012 SEALING WTR HOSE VLV NO  </t>
  </si>
  <si>
    <t>35-24PI-9326</t>
  </si>
  <si>
    <t xml:space="preserve">35-24PI-9326 SEALING WTR PRESSURE INDICATOR </t>
  </si>
  <si>
    <t>35-24FI-9327</t>
  </si>
  <si>
    <t xml:space="preserve">35-24FI-9327 SEALING WTR FLOW INDICATOR </t>
  </si>
  <si>
    <t>35-24FS-647</t>
  </si>
  <si>
    <t xml:space="preserve">35-24FS-647 SEALING WATER FLOW SWITCH </t>
  </si>
  <si>
    <t>LN 35-24-175 SEALING WATER TO HOSE</t>
  </si>
  <si>
    <t xml:space="preserve">HV 35-24-007 SEALING WTR HOSE VLV NO  </t>
  </si>
  <si>
    <t>35-24PI-9328</t>
  </si>
  <si>
    <t xml:space="preserve">35-24PI-9328 SEALING WTR PRESSURE INDICATOR </t>
  </si>
  <si>
    <t>35-24FI-9329</t>
  </si>
  <si>
    <t xml:space="preserve">35-24FI-9329 SEALING WTR FLOW INDICATOR </t>
  </si>
  <si>
    <t>35-24FS-648</t>
  </si>
  <si>
    <t xml:space="preserve">35-24FS-648 SEALING WATER FLOW SWITCH </t>
  </si>
  <si>
    <t>35-24-224</t>
  </si>
  <si>
    <t>LN 35-24-224 SEALING WATER TO HOSE</t>
  </si>
  <si>
    <t xml:space="preserve">HV 35-24-224 SEALING WTR HOSE VLV NO  </t>
  </si>
  <si>
    <t>35-24PI-9330</t>
  </si>
  <si>
    <t xml:space="preserve">35-24PI-9330 SEALING WTR PRESSURE INDICATOR </t>
  </si>
  <si>
    <t>35-24FI-9331</t>
  </si>
  <si>
    <t xml:space="preserve">35-24FI-9331 SEALING WTR FLOW INDICATOR </t>
  </si>
  <si>
    <t>35-24FS-656</t>
  </si>
  <si>
    <t xml:space="preserve">35-24FS-656 SEALING WATER FLOW SWITCH </t>
  </si>
  <si>
    <t>35-24-203</t>
  </si>
  <si>
    <t>LN 35-24-203 SEALING WATER TO HOSE</t>
  </si>
  <si>
    <t xml:space="preserve">HV 35-24-203 SEALING WTR HOSE VLV NO  </t>
  </si>
  <si>
    <t>35-24PI-9332</t>
  </si>
  <si>
    <t xml:space="preserve">35-24PI-9332 SEALING WTR PRESSURE INDICATOR </t>
  </si>
  <si>
    <t>35-24FI-9333</t>
  </si>
  <si>
    <t xml:space="preserve">35-24FI-9333 SEALING WTR FLOW INDICATOR </t>
  </si>
  <si>
    <t>35-24FS-657</t>
  </si>
  <si>
    <t xml:space="preserve">35-24FS-657 SEALING WATER FLOW SWITCH </t>
  </si>
  <si>
    <t>LN 35-24-215 GEARBOX COOLING WTR SEND</t>
  </si>
  <si>
    <t>35-24-005</t>
  </si>
  <si>
    <t xml:space="preserve">LN 35-24-005 COOLING WTR INLET </t>
  </si>
  <si>
    <t>35-24-185</t>
  </si>
  <si>
    <t>HV 35-24-185 COOLING WTR INLET VLV NO</t>
  </si>
  <si>
    <t>35-24TV-9251</t>
  </si>
  <si>
    <t xml:space="preserve">35-24TV-9251 GEARBOX 1 TEMP VLV </t>
  </si>
  <si>
    <t>35-24TC-9251</t>
  </si>
  <si>
    <t xml:space="preserve">35-24TC-9251 GEARBOX 1 TEMP CTRL VLV </t>
  </si>
  <si>
    <t>STOD206339</t>
  </si>
  <si>
    <t>35-24-188</t>
  </si>
  <si>
    <t>HV 35-24-188 35-24-003 OUTLET VLV NO</t>
  </si>
  <si>
    <t>HV 35-24-189 COOLING WTR INLET VLV NO</t>
  </si>
  <si>
    <t>35-24TV-9250</t>
  </si>
  <si>
    <t xml:space="preserve">35-24TV-9250 GEARBOX 2 TEMP VLV </t>
  </si>
  <si>
    <t>35-24TC-9250</t>
  </si>
  <si>
    <t xml:space="preserve">35-24TC-9250 GEARBOX 2 TEMP CTRL VLV </t>
  </si>
  <si>
    <t>LN 35-24-005 COOLING WTR RETURN</t>
  </si>
  <si>
    <t>HV 35-24-190 OUTLET VLV NO</t>
  </si>
  <si>
    <t>LN 35-24-022 GEARBOX COOLING WTR SEND</t>
  </si>
  <si>
    <t>35-24-165</t>
  </si>
  <si>
    <t>HV 35-24-165 COOLING WTR INLET VLV NO</t>
  </si>
  <si>
    <t>35-24TV-9261</t>
  </si>
  <si>
    <t xml:space="preserve">35-24TV-9261 GEARBOX 1 TEMP VLV </t>
  </si>
  <si>
    <t>35-24TC-9261</t>
  </si>
  <si>
    <t xml:space="preserve">35-24TC-9261 GEARBOX 1 TEMP CTRL VLV </t>
  </si>
  <si>
    <t>HV 35-24-168 35-24-003 OUTLET VLV NO</t>
  </si>
  <si>
    <t>HV 35-24-169 COOLING WTR INLET VLV NO</t>
  </si>
  <si>
    <t>35-24TV-9260</t>
  </si>
  <si>
    <t xml:space="preserve">35-24TV-9260 GEARBOX 2 TEMP VLV </t>
  </si>
  <si>
    <t>35-24TC-9260</t>
  </si>
  <si>
    <t xml:space="preserve">35-24TC-9260 GEARBOX 2 TEMP CTRL VLV </t>
  </si>
  <si>
    <t>LN 35-24-020 COOLING WTR RETURN</t>
  </si>
  <si>
    <t>HV 35-24-170 OUTLET VLV NO</t>
  </si>
  <si>
    <t>35-24-041</t>
  </si>
  <si>
    <t>LN 35-24-041 COOLING WTR INLET</t>
  </si>
  <si>
    <t>HV 35-24-146 COOLING WTR INLET VLV NO</t>
  </si>
  <si>
    <t>35-24TV-9269</t>
  </si>
  <si>
    <t xml:space="preserve">35-24TV-9269 GEARBOX 1 TEMP VLV </t>
  </si>
  <si>
    <t>35-24TC-9269</t>
  </si>
  <si>
    <t xml:space="preserve">35-24TC-9269 GEARBOX 1 TEMP CTRL VLV </t>
  </si>
  <si>
    <t>35-24-1123</t>
  </si>
  <si>
    <t>HV 35-24-1123 35-24-037 OUTLET VLV NO</t>
  </si>
  <si>
    <t>HV 35-24-111 COOLING WTR INLET VLV NO</t>
  </si>
  <si>
    <t>35-24TV-9268</t>
  </si>
  <si>
    <t xml:space="preserve">35-24TV-9268 GEARBOX 2 TEMP VLV </t>
  </si>
  <si>
    <t>35-24TC-9268</t>
  </si>
  <si>
    <t xml:space="preserve">35-24TC-9268 GEARBOX 2 TEMP CTRL VLV </t>
  </si>
  <si>
    <t>35-24-037</t>
  </si>
  <si>
    <t>LN 35-24-037 COOLING WTR RETURN</t>
  </si>
  <si>
    <t>HV 35-24-154 OUTLET VLV NO</t>
  </si>
  <si>
    <t>LN 35-24-075 COOLING WTR INLET</t>
  </si>
  <si>
    <t>35-24-112</t>
  </si>
  <si>
    <t>HV 35-24-112 COOLING WTR INLET VLV NO</t>
  </si>
  <si>
    <t>35-24TV-9283</t>
  </si>
  <si>
    <t xml:space="preserve">35-24TV-9283 GEARBOX 1 TEMP VLV </t>
  </si>
  <si>
    <t>35-24TC-9283</t>
  </si>
  <si>
    <t xml:space="preserve">35-24TC-9283 GEARBOX 1 TEMP CTRL VLV </t>
  </si>
  <si>
    <t>35-24-1127</t>
  </si>
  <si>
    <t>HV 35-24-1127 35-24-073 OUTLET VLV NO</t>
  </si>
  <si>
    <t>HV 35-24-117 COOLING WTR INLET VLV NO</t>
  </si>
  <si>
    <t>35-24TV-9282</t>
  </si>
  <si>
    <t xml:space="preserve">35-24TV-9282 GEARBOX 2 TEMP VLV </t>
  </si>
  <si>
    <t>35-24TC-9282</t>
  </si>
  <si>
    <t xml:space="preserve">35-24TC-9282 GEARBOX 2 TEMP CTRL VLV </t>
  </si>
  <si>
    <t>LN 35-24-073 COOLING WTR RETURN</t>
  </si>
  <si>
    <t>35-24-1092</t>
  </si>
  <si>
    <t>HV 35-24-1092 OUTLET VLV NO</t>
  </si>
  <si>
    <t>35-24-092</t>
  </si>
  <si>
    <t>LN 35-24-092 COOLING WTR INLET</t>
  </si>
  <si>
    <t>HV 35-24-095 COOLING WTR INLET VLV NO</t>
  </si>
  <si>
    <t>35-24TV-9291</t>
  </si>
  <si>
    <t xml:space="preserve">35-24TV-9291 GEARBOX 1 TEMP VLV </t>
  </si>
  <si>
    <t>35-24TC-9291</t>
  </si>
  <si>
    <t xml:space="preserve">35-24TC-9291 GEARBOX 1 TEMP CTRL VLV </t>
  </si>
  <si>
    <t>35-24-1135</t>
  </si>
  <si>
    <t>HV 35-24-1135 35-24-090 OUTLET VLV NO</t>
  </si>
  <si>
    <t>35-24-1090</t>
  </si>
  <si>
    <t>HV 35-24-1090 COOLING WTR INLET VLV NO</t>
  </si>
  <si>
    <t>35-24TV-9290</t>
  </si>
  <si>
    <t xml:space="preserve">35-24TV-9290 GEARBOX 2 TEMP VLV </t>
  </si>
  <si>
    <t>35-24TC-9290</t>
  </si>
  <si>
    <t xml:space="preserve">35-24TC-9290 GEARBOX 2 TEMP CTRL VLV </t>
  </si>
  <si>
    <t>35-24-090</t>
  </si>
  <si>
    <t>LN 35-24-090 COOLING WTR RETURN</t>
  </si>
  <si>
    <t>35-24-1102</t>
  </si>
  <si>
    <t>HV 35-24-1102 OUTLET VLV NO</t>
  </si>
  <si>
    <t>35-24-116</t>
  </si>
  <si>
    <t>LN 35-24-116 COOLING WTR INLET</t>
  </si>
  <si>
    <t>35-24-1109</t>
  </si>
  <si>
    <t>HV 35-24-1109 COOLING WTR INLET VLV NO</t>
  </si>
  <si>
    <t>35-24TV-9301</t>
  </si>
  <si>
    <t xml:space="preserve">35-24TV-9301 GEARBOX 1 TEMP VLV </t>
  </si>
  <si>
    <t>35-24TC-9301</t>
  </si>
  <si>
    <t xml:space="preserve">35-24TC-9301GEARBOX 1 TEMP CTRL VLV </t>
  </si>
  <si>
    <t>HV 35-24-081 35-24-114 OUTLET VLV NO</t>
  </si>
  <si>
    <t>HV 35-24-082 COOLING WTR INLET VLV NO</t>
  </si>
  <si>
    <t>35-24TV-9300</t>
  </si>
  <si>
    <t xml:space="preserve">35-24TV-9300 GEARBOX 2 TEMP VLV </t>
  </si>
  <si>
    <t>35-24TC-9300</t>
  </si>
  <si>
    <t xml:space="preserve">35-24TC-9300 GEARBOX 2 TEMP CTRL VLV </t>
  </si>
  <si>
    <t>35-24-114</t>
  </si>
  <si>
    <t>LN 35-24-114 COOLING WTR RETURN</t>
  </si>
  <si>
    <t>35-24-083</t>
  </si>
  <si>
    <t>HV 35-24-083 OUTLET VLV NO</t>
  </si>
  <si>
    <t>LN 35-24-216 COOLING WATER RETURN</t>
  </si>
  <si>
    <t xml:space="preserve">LN 35-24-117 BROKE HANDLING FLUSHING WATER </t>
  </si>
  <si>
    <t>LN 35-24-001 SAMPLER FLUSHING WTR</t>
  </si>
  <si>
    <t>HV 35-24-192 SAMPLER FLUSHING WTR VLV NC</t>
  </si>
  <si>
    <t>HV 35-24-191 35-24XV-665 FLUSHING WTR VLV NC</t>
  </si>
  <si>
    <t>35-24-021</t>
  </si>
  <si>
    <t>LN 35-24-021 SAMPLER FLUSHING WTR</t>
  </si>
  <si>
    <t>HV 35-24-167 SAMPLER FLUSHING WTR VLV NC</t>
  </si>
  <si>
    <t>HV 35-24-166 35-24XV-666 FLUSHING WTR VLV NC</t>
  </si>
  <si>
    <t>35-24-039</t>
  </si>
  <si>
    <t xml:space="preserve">LN 35-24-039 SAMPLER FLUSHING WTR </t>
  </si>
  <si>
    <t>35-24-1108</t>
  </si>
  <si>
    <t>HV 35-24-1108 SAMPLER FLUSHING WTR VLV NC</t>
  </si>
  <si>
    <t>HV 35-24-148 35-24XV-667 FLUSHING WTR VLV NC</t>
  </si>
  <si>
    <t xml:space="preserve">LN 35-24-058 SAMPLER FLUSHING WTR </t>
  </si>
  <si>
    <t>HV 35-24-148 35-24XV-668 FLUSHING WTR VLV NC</t>
  </si>
  <si>
    <t>LN 35-24-074 SAMPLER FLUSHING WTR</t>
  </si>
  <si>
    <t>35-24-115</t>
  </si>
  <si>
    <t>HV 35-24-115 SAMPLER FLUSHING WTR VLV NC</t>
  </si>
  <si>
    <t>HV 35-24-114 35-24XV-669 FLUSHING WTR VLV NC</t>
  </si>
  <si>
    <t>LN 35-24-091 SAMPLER FLUSHING WTR</t>
  </si>
  <si>
    <t>HV 35-24-099 SAMPLER FLUSHING WTR VLV NC</t>
  </si>
  <si>
    <t>35-24-098</t>
  </si>
  <si>
    <t>HV 35-24-098 35-24XV-670 FLUSHING WTR VLV NC</t>
  </si>
  <si>
    <t>35-24-124</t>
  </si>
  <si>
    <t>LN 35-24-124 SAMPLER FLUSHING WTR</t>
  </si>
  <si>
    <t>35-24-069</t>
  </si>
  <si>
    <t>HV 35-24-069 SAMPLER FLUSHING WTR VLV NC</t>
  </si>
  <si>
    <t>35-24-1129</t>
  </si>
  <si>
    <t>HV 35-24-1129 35-24XV-671 FLUSHING WTR VLV NC</t>
  </si>
  <si>
    <t>LN 35-24-141 SAMPLER FLUSHING WTR</t>
  </si>
  <si>
    <t>HV 35-24-041 SAMPLER FLUSHING WTR VLV NC</t>
  </si>
  <si>
    <t>HV 35-24-037 35-24XV-672 FLUSHING WTR VLV NC</t>
  </si>
  <si>
    <t>35-24-162</t>
  </si>
  <si>
    <t>LN 35-24-162 SAMPLER FLUSHING WTR</t>
  </si>
  <si>
    <t>35-24-017</t>
  </si>
  <si>
    <t>HV 35-24-017 SAMPLER FLUSHING WTR VLV NC</t>
  </si>
  <si>
    <t>35-24-1113</t>
  </si>
  <si>
    <t>HV 35-24-1113 35-24XV-673 FLUSHING WTR VLV NC</t>
  </si>
  <si>
    <t>35-25-034</t>
  </si>
  <si>
    <t>LN 35-25-034 WHITE WATER TOWER 35-25P504</t>
  </si>
  <si>
    <t xml:space="preserve">LN 35-24-109 WHITE WATER TO COUCH PIT </t>
  </si>
  <si>
    <t>35-24-085</t>
  </si>
  <si>
    <t>HV 35-24-085 WHITE WATER INLET VLV NO</t>
  </si>
  <si>
    <t>35-24-084</t>
  </si>
  <si>
    <t xml:space="preserve">HV 35-24-084 FLUSHING VLV NC </t>
  </si>
  <si>
    <t>LN 35-24-110 WHITE WATER TO COUCH PIT</t>
  </si>
  <si>
    <t>35-24KV-595</t>
  </si>
  <si>
    <t xml:space="preserve">35-24KV-595 SOLENOID VLV </t>
  </si>
  <si>
    <t>35-24KS-595</t>
  </si>
  <si>
    <t>35-24KS-595 WHITE WATER 35-24T601 TIMER SWITCH</t>
  </si>
  <si>
    <t>LN 35-24-112 WHITE WATER TO COUCH PIT</t>
  </si>
  <si>
    <t xml:space="preserve">35-24HS-597 WHITE WTR 35-24T601 CNTRL SW VLV </t>
  </si>
  <si>
    <t>35-24HI-597 WHITE WTR 35-24T601 LOCAL CNTRL SW</t>
  </si>
  <si>
    <t>LN 35-24-115 WHITE WATER TO COUCH PIT</t>
  </si>
  <si>
    <t>55-34FV-598</t>
  </si>
  <si>
    <t>55-34FV-598 WHITE WTR 35-24T601 FLOW CNTRL VLV</t>
  </si>
  <si>
    <t>55-34FC-598</t>
  </si>
  <si>
    <t>55-34FC-598 WHITE WTR 35-24T601 FLOW CNTRL</t>
  </si>
  <si>
    <t>LN 35-24-106 WHITE WATER TO PRESS PLPR</t>
  </si>
  <si>
    <t>35-24-086</t>
  </si>
  <si>
    <t>HV 35-24-086 WHITE WATER INLET VLV NO</t>
  </si>
  <si>
    <t xml:space="preserve">HV 35-24-090 FLUSHING VLV NC </t>
  </si>
  <si>
    <t>LN 35-24-105 WHITE WTR 35-24L001</t>
  </si>
  <si>
    <t>35-24FV-593</t>
  </si>
  <si>
    <t xml:space="preserve">35-24FV-593 WHITE WTR FLOW VLV </t>
  </si>
  <si>
    <t>35-24FC-593</t>
  </si>
  <si>
    <t xml:space="preserve">35-24FC-593 WHITE WTR FLOW CNTRL </t>
  </si>
  <si>
    <t>LN 35-24-107 WHITE WTR 35-24L001</t>
  </si>
  <si>
    <t>35-24KV-594</t>
  </si>
  <si>
    <t xml:space="preserve">35-24KV-594 SOLENOID VLV </t>
  </si>
  <si>
    <t>35-24KS-594</t>
  </si>
  <si>
    <t>35-24KS-594 TIMER SWITCH</t>
  </si>
  <si>
    <t>35-24HV-583</t>
  </si>
  <si>
    <t xml:space="preserve">35-24HV-583 WHITE WTR HAND VLV </t>
  </si>
  <si>
    <t xml:space="preserve">35-24HS-583 WHITE WTR CNTRL SWITCH </t>
  </si>
  <si>
    <t>35-24HI-583 WHITE WTR LOCAL CNTRL SW</t>
  </si>
  <si>
    <t>LN 35-24-094 WHITE WTR 35-24L001</t>
  </si>
  <si>
    <t>35-24HV-580</t>
  </si>
  <si>
    <t xml:space="preserve">35-24HV-580 WHITE WTR HAND VLV </t>
  </si>
  <si>
    <t xml:space="preserve">35-24HS-580 WHITE WTR CNTRL SWITCH </t>
  </si>
  <si>
    <t>35-24HI-580 WHITE WTR LOCAL CNTRL SW</t>
  </si>
  <si>
    <t>LN 35-24-184 WHITE WTR 35-24L001</t>
  </si>
  <si>
    <t>35-24HV-654</t>
  </si>
  <si>
    <t xml:space="preserve">35-24HV-654 WHITE WTR HAND VLV </t>
  </si>
  <si>
    <t xml:space="preserve">35-24HS-654 WHITE WTR CNTRL SWITCH </t>
  </si>
  <si>
    <t>35-24HI-654 WHITE WTR LOCAL CNTRL SW</t>
  </si>
  <si>
    <t>35-24-087</t>
  </si>
  <si>
    <t>LN 35-24-087 WHITE WTR TO SIZE PRESS PLPR</t>
  </si>
  <si>
    <t>55-24-1119</t>
  </si>
  <si>
    <t>HV 55-24-1119 WHITE WATER INLET VLV NO</t>
  </si>
  <si>
    <t>35-24-103</t>
  </si>
  <si>
    <t xml:space="preserve">HV 35-24-103 FLUSHING VLV NC </t>
  </si>
  <si>
    <t>LN 35-24-089 SIZE PRESS PLPR WHITE WTR</t>
  </si>
  <si>
    <t>35-24HV-575</t>
  </si>
  <si>
    <t xml:space="preserve">35-24HV-575 WHITE WTR HAND VLV </t>
  </si>
  <si>
    <t>35-24HS-575 WHITE WTR CNTRL SW</t>
  </si>
  <si>
    <t xml:space="preserve">35-24HI-575 WHITE WTR LOCAL CNTRL SW </t>
  </si>
  <si>
    <t>LN 35-24-088 SIZE PRESS PLPR WHITE WTR</t>
  </si>
  <si>
    <t>35-24HV-651</t>
  </si>
  <si>
    <t xml:space="preserve">35-24HV-651 WHITE WTR HAND VLV </t>
  </si>
  <si>
    <t>35-24HS-651</t>
  </si>
  <si>
    <t>35-24HS-651 WHITE WTR CNTRL SW</t>
  </si>
  <si>
    <t>35-24HI-651</t>
  </si>
  <si>
    <t xml:space="preserve">35-24HI-651 WHITE WTR LOCAL CNTRL SW </t>
  </si>
  <si>
    <t>LN 35-24-086 SIZE PRESS PLPR WHITE WTR</t>
  </si>
  <si>
    <t>35-24KV-573</t>
  </si>
  <si>
    <t xml:space="preserve">35-24KV-573 WHITE WTR TIMER VLV </t>
  </si>
  <si>
    <t>35-24KS-573</t>
  </si>
  <si>
    <t xml:space="preserve">35-24KS-573 WHITE WTR SOLENOID VLV </t>
  </si>
  <si>
    <t>LN 35-24-084 SIZE PRESS PLPR WHITE WTR</t>
  </si>
  <si>
    <t>35-24HV-572</t>
  </si>
  <si>
    <t xml:space="preserve">35-24HV-572 WHITE WTR HAND VLV </t>
  </si>
  <si>
    <t>35-24HS-572 WHITE WTR CNTRL SW</t>
  </si>
  <si>
    <t xml:space="preserve">35-24HI-572 WHITE WTR LOCAL CNTRL SW </t>
  </si>
  <si>
    <t>LN 35-24-083 SIZE PRESS PLPR WHITE WTR</t>
  </si>
  <si>
    <t>35-24FV-570</t>
  </si>
  <si>
    <t xml:space="preserve">35-24FV-570 WHITE WTR FLOW CNTRL VLV </t>
  </si>
  <si>
    <t>35-24FC-570</t>
  </si>
  <si>
    <t>35-24FC-570 WHITE WTR FLOW CONTROL</t>
  </si>
  <si>
    <t>LN 35-24-063 WHITE WTR TO 35-24-066</t>
  </si>
  <si>
    <t>35-24-1115</t>
  </si>
  <si>
    <t xml:space="preserve">HV 35-24-1115 WHITE WTR TO 35-24-066 VLV NO </t>
  </si>
  <si>
    <t>35-24NV1-557</t>
  </si>
  <si>
    <t xml:space="preserve">35-24NV1-557 WHITE WTR CONSISTENCY VLV </t>
  </si>
  <si>
    <t>35-24NC-557</t>
  </si>
  <si>
    <t>35-24NC-557 WHITE WTR CONSISTENCY CNTRL</t>
  </si>
  <si>
    <t>35-24NV2-557</t>
  </si>
  <si>
    <t xml:space="preserve">35-24NV2-557 WHITE WTR CONSISTENCY VLV </t>
  </si>
  <si>
    <t>35-24-054</t>
  </si>
  <si>
    <t>LN 35-24-054 WHITE WTR TO REEL PLPR</t>
  </si>
  <si>
    <t>35-24-134</t>
  </si>
  <si>
    <t>HV 35-24-134 WHITE WTR TO REEL PLPR VLV NO</t>
  </si>
  <si>
    <t>HV 35-24-138 FLUSHING VLV NC</t>
  </si>
  <si>
    <t>LN 35-24-035 WHITE WTR TO REEL PLPR</t>
  </si>
  <si>
    <t>35-24HV-652</t>
  </si>
  <si>
    <t xml:space="preserve">35-24HV-652 WHITE WTR HAND VLV </t>
  </si>
  <si>
    <t>35-24HS-652 WHITE WTR CNTRL SW</t>
  </si>
  <si>
    <t xml:space="preserve">35-24HI-652 WHITE WTR LOCAL CNTRL SW </t>
  </si>
  <si>
    <t>LN 35-24-036 WHITE WTR TO REEL PLPR</t>
  </si>
  <si>
    <t>35-24HV-534</t>
  </si>
  <si>
    <t xml:space="preserve">35-24HV-534 WHITE WTR HAND VLV </t>
  </si>
  <si>
    <t>35-24HS-534</t>
  </si>
  <si>
    <t>35-24HS-534 WHITE WTR CNTRL SW</t>
  </si>
  <si>
    <t>35-24HI-534</t>
  </si>
  <si>
    <t xml:space="preserve">35-24HI-534 WHITE WTR LOCAL CNTRL SW </t>
  </si>
  <si>
    <t>LN 35-24-057 WHITE WTR TO REEL PLPR</t>
  </si>
  <si>
    <t>35-24HV-653</t>
  </si>
  <si>
    <t xml:space="preserve">35-24HV-653 WHITE WTR HAND VLV </t>
  </si>
  <si>
    <t>35-24HS-653 WHITE WTR CNTRL SW</t>
  </si>
  <si>
    <t xml:space="preserve">35-24HI-653 WHITE WTR LOCAL CNTRL SW </t>
  </si>
  <si>
    <t>LN 35-24-056 WHITE WTR TO REEL PLPR</t>
  </si>
  <si>
    <t>35-24HV-555</t>
  </si>
  <si>
    <t xml:space="preserve">35-24HV-555 WHITE WTR HAND VLV </t>
  </si>
  <si>
    <t>35-24HS-555 WHITE WTR CNTRL SW</t>
  </si>
  <si>
    <t xml:space="preserve">35-24HI-555 WHITE WTR LOCAL CNTRL SW </t>
  </si>
  <si>
    <t>LN 35-24-055 WHITE WTR TO REEL PLPR</t>
  </si>
  <si>
    <t>35-24KV-553</t>
  </si>
  <si>
    <t xml:space="preserve">35-24KV-553 WHITE WTR TIMER VLV </t>
  </si>
  <si>
    <t>35-24KS-553</t>
  </si>
  <si>
    <t xml:space="preserve">35-24KS-553 WHITE WTR SOLENOID VLV </t>
  </si>
  <si>
    <t>35-24-053</t>
  </si>
  <si>
    <t>LN 35-24-053 WHITE WTR TO REEL PLPR</t>
  </si>
  <si>
    <t>35-24HV-552</t>
  </si>
  <si>
    <t>35-24HS-552 WHITE WTR CNTRL SW</t>
  </si>
  <si>
    <t xml:space="preserve">35-24HI-552 WHITE WTR LOCAL CNTRL SW </t>
  </si>
  <si>
    <t>35-24-052</t>
  </si>
  <si>
    <t>LN 35-24-052 WHITE WTR TO REEL PLPR</t>
  </si>
  <si>
    <t>35-24FV-550</t>
  </si>
  <si>
    <t xml:space="preserve">35-24FV-550 WHITE WTR FLOW CNTRL VLV </t>
  </si>
  <si>
    <t>35-24FC-550</t>
  </si>
  <si>
    <t>35-24FC-550 WHITE WTR FLOW CONTROL</t>
  </si>
  <si>
    <t>LN 35-24-032 WHITE WTR TO SLABBING PLPR</t>
  </si>
  <si>
    <t>HV 35-24-155 WHITE WTR TO SLABBING PLPR VLV NO</t>
  </si>
  <si>
    <t xml:space="preserve">HV 35-24-156 FLUSHING VLV NC </t>
  </si>
  <si>
    <t>35-24-031</t>
  </si>
  <si>
    <t>LN 35-24-031 WHITE WTR TO SLABBING PLPR</t>
  </si>
  <si>
    <t>35-24HV-529</t>
  </si>
  <si>
    <t xml:space="preserve">35-24HV-529 WHITE WTR HAND VLV </t>
  </si>
  <si>
    <t>35-24HS-529 WHITE WTR CNTRL SW</t>
  </si>
  <si>
    <t xml:space="preserve">35-24HI-529 WHITE WTR LOCAL CNTRL SW </t>
  </si>
  <si>
    <t>35-24-034</t>
  </si>
  <si>
    <t>LN 35-24-034 WHITE WTR TO SLABBING PLPR</t>
  </si>
  <si>
    <t>35-24HV-532</t>
  </si>
  <si>
    <t xml:space="preserve">35-24HV-532 WHITE WTR HAND VLV </t>
  </si>
  <si>
    <t>35-24HS-532 WHITE WTR CNTRL SW</t>
  </si>
  <si>
    <t xml:space="preserve">35-24HI-532 WHITE WTR LOCAL CNTRL SW </t>
  </si>
  <si>
    <t>LN 35-24-033 WHITE WTR TO SLABBING PLPR</t>
  </si>
  <si>
    <t>35-24KV-530</t>
  </si>
  <si>
    <t xml:space="preserve">35-24KV-530 WHITE WTR TIMER VLV </t>
  </si>
  <si>
    <t>35-24KS-530</t>
  </si>
  <si>
    <t xml:space="preserve">35-24KS-530 WHITE WTR SOLENOID VLV </t>
  </si>
  <si>
    <t>LN 35-24-218 WHITE WTR TO SLABBING PLPR</t>
  </si>
  <si>
    <t>35-24HV-694</t>
  </si>
  <si>
    <t xml:space="preserve">35-24HV-694 WHITE WTR HAND VLV </t>
  </si>
  <si>
    <t>35-24HS-694</t>
  </si>
  <si>
    <t>35-24HS-694 WHITE WTR CNTRL SW</t>
  </si>
  <si>
    <t>35-24HI-694</t>
  </si>
  <si>
    <t xml:space="preserve">35-24HI-694 WHITE WTR LOCAL CNTRL SW </t>
  </si>
  <si>
    <t>LN 35-24-217 WHITE WTR TO SLABBING PLPR</t>
  </si>
  <si>
    <t>35-24HV-693</t>
  </si>
  <si>
    <t xml:space="preserve">35-24HV-693 WHITE WTR HAND VLV </t>
  </si>
  <si>
    <t>35-24HS-693</t>
  </si>
  <si>
    <t>35-24HS-693 WHITE WTR CNTRL SW</t>
  </si>
  <si>
    <t>35-24HI-693</t>
  </si>
  <si>
    <t xml:space="preserve">35-24HI-693 WHITE WTR LOCAL CNTRL SW </t>
  </si>
  <si>
    <t>35-24-030</t>
  </si>
  <si>
    <t>LN 35-24-030 WHITE WTR TO SLABBING PLPR</t>
  </si>
  <si>
    <t>35-24NV-519</t>
  </si>
  <si>
    <t xml:space="preserve">35-24NV-519 WHITE WTR CONSISTENCY VLV </t>
  </si>
  <si>
    <t>35-24NC-519</t>
  </si>
  <si>
    <t xml:space="preserve">35-24NC-519 WHITE WTR CONSISTENCY CNTRL </t>
  </si>
  <si>
    <t>LN 35-24-017 WHITE WTR TO WINDER PLPR</t>
  </si>
  <si>
    <t>HV 35-24-171 WHITE WTR TO WINDER PLPR VLV NO</t>
  </si>
  <si>
    <t xml:space="preserve">HV 35-24-174 FLUSHING VLV NC </t>
  </si>
  <si>
    <t>LN 35-24-006 WHITE WTR TO WINDER PLPR</t>
  </si>
  <si>
    <t>35-24HV-501</t>
  </si>
  <si>
    <t xml:space="preserve">35-24HV-501 WHITE WTR HAND VLV </t>
  </si>
  <si>
    <t>35-24HS-501 WHITE WTR CNTRL SW</t>
  </si>
  <si>
    <t xml:space="preserve">35-24HI-501 WHITE WTR LOCAL CNTRL SW </t>
  </si>
  <si>
    <t>LN 35-24-004 WHITE WTR TO WINDER PLPR</t>
  </si>
  <si>
    <t>35-24HV-505</t>
  </si>
  <si>
    <t xml:space="preserve">35-24HV-505 WHITE WTR HAND VLV </t>
  </si>
  <si>
    <t>35-24HS-505</t>
  </si>
  <si>
    <t>35-24HS-505 WHITE WTR CNTRL SW</t>
  </si>
  <si>
    <t>35-24HI-505</t>
  </si>
  <si>
    <t xml:space="preserve">35-24HI-505 WHITE WTR LOCAL CNTRL SW </t>
  </si>
  <si>
    <t>HV 35-24-178 WHITE WTR WINDER PULPER VLV NO</t>
  </si>
  <si>
    <t>35-24-1094</t>
  </si>
  <si>
    <t>HV 35-24-1094 WHITE WTR WINDER PULPER VLV NO</t>
  </si>
  <si>
    <t>35-24-018</t>
  </si>
  <si>
    <t>LN 35-24-018 WHITE WTR TO WINDER PLPR</t>
  </si>
  <si>
    <t>35-24KV-517</t>
  </si>
  <si>
    <t xml:space="preserve">35-24KV-517 WHITE WTR TIMER VLV </t>
  </si>
  <si>
    <t>35-24KS-517</t>
  </si>
  <si>
    <t xml:space="preserve">35-24KS-517 WHITE WTR SOLENOID VLV </t>
  </si>
  <si>
    <t>35-24-016</t>
  </si>
  <si>
    <t xml:space="preserve">LN 35-24-016 WHITE WTR TO WINDER PLPR </t>
  </si>
  <si>
    <t>35-24HV-516</t>
  </si>
  <si>
    <t xml:space="preserve">35-24HV-516 WHITE WTR HAND VLV </t>
  </si>
  <si>
    <t>35-24HS-516 WHITE WTR CNTRL SW</t>
  </si>
  <si>
    <t xml:space="preserve">35-24HI-516 WHITE WTR LOCAL CNTRL SW </t>
  </si>
  <si>
    <t>HV 35-24-172 WHITE WTR WINDER PLPR VLV NO</t>
  </si>
  <si>
    <t>35-24-173</t>
  </si>
  <si>
    <t>HV 35-24-173 WHITE WTR WINDER PLPR VLV NO</t>
  </si>
  <si>
    <t>LN 35-24-016 WHITE WTR TO WINDER PLPR</t>
  </si>
  <si>
    <t>35-24NV-504</t>
  </si>
  <si>
    <t xml:space="preserve">35-24NV-504 WHITE WTR CONSISTENCY VLV </t>
  </si>
  <si>
    <t>35-24NC-504</t>
  </si>
  <si>
    <t xml:space="preserve">35-24NC-504 WHITE WTR CONSISTENCY CNTRL </t>
  </si>
  <si>
    <t>LN 35-24-185 WHITE WTR TO BROKE ROLL PLPR</t>
  </si>
  <si>
    <t>HV 35-24-193 WHITE WTR TO BROKE ROLL PLPR VLV NO</t>
  </si>
  <si>
    <t>LN 35-24-186 WHITE WTR TO BROKE ROLL PLPR</t>
  </si>
  <si>
    <t>35-24KV-677</t>
  </si>
  <si>
    <t xml:space="preserve">35-24KV-677 WHITE WTR TIMER VLV </t>
  </si>
  <si>
    <t>35-24KS-677</t>
  </si>
  <si>
    <t>35-24KS-677 WHITE WTR SOLENOID VLV</t>
  </si>
  <si>
    <t>LN 35-24-187 WHITE WTR TO BROKE ROLL PLPR</t>
  </si>
  <si>
    <t>35-24HV-676</t>
  </si>
  <si>
    <t xml:space="preserve">35-24HV-676 WHITE WTR HAND VLV </t>
  </si>
  <si>
    <t>35-24HS-676</t>
  </si>
  <si>
    <t>35-24HS-676 WHITE WTR CNTRL SW</t>
  </si>
  <si>
    <t xml:space="preserve">35-24HI-676 WHITE WTR LOCAL CNTRL SW </t>
  </si>
  <si>
    <t>LN 35-24-188 WHITE WTR TO BROKE ROLL PLPR</t>
  </si>
  <si>
    <t>35-24NV-675</t>
  </si>
  <si>
    <t xml:space="preserve">35-24NV-675 WHITE WTR CONSISTENCY VLV </t>
  </si>
  <si>
    <t>35-24NC-675</t>
  </si>
  <si>
    <t xml:space="preserve">35-24NC-675 WHITE WTR CONSISTENCY CNTRL </t>
  </si>
  <si>
    <t>LN 35-24-213 WHITE WTR TO BROKE ROLL PLPR</t>
  </si>
  <si>
    <t>HV 35-24-223 WHITE WTR TO SAMPLER VLV NC</t>
  </si>
  <si>
    <t>HV 35-24-222 WHITE WTR TO SAMPLER VLV NC</t>
  </si>
  <si>
    <t>35-25-162</t>
  </si>
  <si>
    <t>LN 35-24-162 WHITE WTR TO SAMPLER</t>
  </si>
  <si>
    <t>HV 35-24-017 WHITE WTR TO 35-24XV-673 NC</t>
  </si>
  <si>
    <t>HV 35-24-1113 WHITE WTR TO SAMPLER VLV NC</t>
  </si>
  <si>
    <t>35-25-072</t>
  </si>
  <si>
    <t>LN 35-25-072 WHITE WTR TNK 35-25P513</t>
  </si>
  <si>
    <t>35-25-143</t>
  </si>
  <si>
    <t>LN 35-25-143 WHITE WTR TNK 35-25P513</t>
  </si>
  <si>
    <t>35-25-183</t>
  </si>
  <si>
    <t>LN 35-25-183 WHITE WTR TNK</t>
  </si>
  <si>
    <t>35-24HV-637</t>
  </si>
  <si>
    <t xml:space="preserve">35-24HV-637 WHITE WTR 35-24L010 VLV </t>
  </si>
  <si>
    <t>35-24HI-637</t>
  </si>
  <si>
    <t xml:space="preserve">35-24HI-637 BROKE SCREEN FLUSHING CNTRL VLV </t>
  </si>
  <si>
    <t>LN 35-24-164 WHITE WTR 35-24L002</t>
  </si>
  <si>
    <t>HV 35-24-030 WHITE WTR INLET VLV NO</t>
  </si>
  <si>
    <t>35-24HV-623</t>
  </si>
  <si>
    <t xml:space="preserve">35-24HV-623 WHITE WTR HAND VLV </t>
  </si>
  <si>
    <t>35-24HI-623</t>
  </si>
  <si>
    <t>35-24HI-623 35-24L002 SHOWER WTR CNTRL</t>
  </si>
  <si>
    <t>35-25-139</t>
  </si>
  <si>
    <t>LN 35-25-139 WHITE WTR TNK</t>
  </si>
  <si>
    <t>35-24-1122</t>
  </si>
  <si>
    <t>HV 35-24-1122 WHITE WTR VLV NC</t>
  </si>
  <si>
    <t>35-24-1139</t>
  </si>
  <si>
    <t>HV 35-24-1139 WHITE WTR NRV</t>
  </si>
  <si>
    <t>35-25-137</t>
  </si>
  <si>
    <t>LN 35-25-137 WHITE WTR TNK</t>
  </si>
  <si>
    <t>35-24NV-616</t>
  </si>
  <si>
    <t xml:space="preserve">35-24NV-616 CONSISTENCY VLV </t>
  </si>
  <si>
    <t>35-24NC-616</t>
  </si>
  <si>
    <t xml:space="preserve">35-24NC-616 CONSISTENCY CONTROLLER </t>
  </si>
  <si>
    <t>NRV 35-24-047 WHITE WTR</t>
  </si>
  <si>
    <t>35-25-134</t>
  </si>
  <si>
    <t>LN 35-25-134 WHITE WTR TNK</t>
  </si>
  <si>
    <t>35-24-051 WHITE WTR VLV NC</t>
  </si>
  <si>
    <t>35-24-1133</t>
  </si>
  <si>
    <t>NRV 35-24-1133 WHITE WTR</t>
  </si>
  <si>
    <t>35-25-182</t>
  </si>
  <si>
    <t>LN 35-25-182 FROM WHITE WTR TNK 35-25P502</t>
  </si>
  <si>
    <t>35-24NV-634</t>
  </si>
  <si>
    <t xml:space="preserve">35-24NV-634 CONSISTENCY VLV </t>
  </si>
  <si>
    <t>35-24NC-634</t>
  </si>
  <si>
    <t xml:space="preserve">35-24NC-634 CONSISTENCY CONTROLLER </t>
  </si>
  <si>
    <t>NRV 35-24-021 WHITE WTR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</si>
</sst>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family val="2"/>
      <sz val="11"/>
      <name val="Calibri"/>
    </font>
    <font>
      <color theme="4"/>
      <family val="2"/>
      <sz val="11"/>
      <name val="Calibri"/>
    </font>
    <font>
      <color rgb="FFFF0000"/>
      <family val="2"/>
      <sz val="11"/>
      <name val="Calibri"/>
    </font>
    <font>
      <color rgb="FF000000"/>
      <family val="2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0" fontId="1" fillId="7" borderId="0" xfId="0" applyFont="1" applyFill="1"/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right"/>
    </xf>
    <xf numFmtId="0" fontId="1" fillId="8" borderId="0" xfId="0" applyFont="1" applyFill="1"/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right"/>
    </xf>
    <xf numFmtId="0" fontId="2" fillId="7" borderId="0" xfId="0" applyFont="1" applyFill="1"/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righ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1" fillId="8" borderId="0" xfId="0" applyFont="1" applyFill="1" applyAlignment="1">
      <alignment wrapText="1"/>
    </xf>
    <xf numFmtId="0" fontId="4" fillId="8" borderId="0" xfId="0" applyFont="1" applyFill="1"/>
    <xf numFmtId="0" fontId="4" fillId="8" borderId="0" xfId="0" applyFont="1" applyFill="1" applyAlignment="1">
      <alignment horizontal="left"/>
    </xf>
    <xf numFmtId="0" fontId="4" fillId="8" borderId="0" xfId="0" applyFont="1" applyFill="1" applyAlignment="1">
      <alignment horizontal="right"/>
    </xf>
    <xf numFmtId="0" fontId="4" fillId="6" borderId="0" xfId="0" applyFont="1" applyFill="1" applyAlignment="1">
      <alignment horizontal="left" wrapText="1"/>
    </xf>
    <xf numFmtId="0" fontId="1" fillId="7" borderId="0" xfId="0" applyFont="1" applyFill="1" applyAlignment="1">
      <alignment wrapText="1"/>
    </xf>
    <xf numFmtId="0" fontId="4" fillId="7" borderId="0" xfId="0" applyFont="1" applyFill="1"/>
    <xf numFmtId="0" fontId="4" fillId="7" borderId="0" xfId="0" applyFont="1" applyFill="1" applyAlignment="1">
      <alignment horizontal="left"/>
    </xf>
    <xf numFmtId="0" fontId="4" fillId="7" borderId="0" xfId="0" applyFont="1" applyFill="1" applyAlignment="1">
      <alignment horizontal="right"/>
    </xf>
    <xf numFmtId="0" fontId="2" fillId="6" borderId="0" xfId="0" applyFont="1" applyFill="1" applyAlignment="1">
      <alignment horizontal="left"/>
    </xf>
    <xf numFmtId="49" fontId="2" fillId="6" borderId="0" xfId="0" applyNumberFormat="1" applyFont="1" applyFill="1" applyAlignment="1">
      <alignment horizontal="left" vertical="center"/>
    </xf>
    <xf numFmtId="49" fontId="2" fillId="7" borderId="0" xfId="0" applyNumberFormat="1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/>
    </xf>
    <xf numFmtId="49" fontId="2" fillId="8" borderId="0" xfId="0" applyNumberFormat="1" applyFont="1" applyFill="1" applyAlignment="1">
      <alignment horizontal="left" vertical="center"/>
    </xf>
    <xf numFmtId="0" fontId="2" fillId="7" borderId="0" xfId="0" applyFont="1" applyFill="1" applyAlignment="1" applyProtection="1">
      <alignment horizontal="left" vertical="top"/>
      <protection locked="0"/>
    </xf>
    <xf numFmtId="49" fontId="2" fillId="7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8" borderId="0" xfId="0" applyFont="1" applyFill="1"/>
    <xf numFmtId="49" fontId="2" fillId="8" borderId="0" xfId="0" applyNumberFormat="1" applyFont="1" applyFill="1" applyAlignment="1">
      <alignment vertical="center"/>
    </xf>
    <xf numFmtId="0" fontId="2" fillId="7" borderId="0" xfId="0" applyFont="1" applyFill="1" applyAlignment="1" applyProtection="1">
      <alignment vertical="top"/>
      <protection locked="0"/>
    </xf>
    <xf numFmtId="0" fontId="2" fillId="8" borderId="0" xfId="0" applyFont="1" applyFill="1" applyAlignment="1" applyProtection="1">
      <alignment vertical="top"/>
      <protection locked="0"/>
    </xf>
    <xf numFmtId="49" fontId="1" fillId="8" borderId="0" xfId="0" applyNumberFormat="1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2" fillId="8" borderId="0" xfId="0" applyFont="1" applyFill="1" applyAlignment="1" applyProtection="1">
      <alignment horizontal="left" vertical="top"/>
      <protection locked="0"/>
    </xf>
    <xf numFmtId="0" fontId="5" fillId="8" borderId="0" xfId="0" applyFont="1" applyFill="1"/>
    <xf numFmtId="0" fontId="5" fillId="8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7" borderId="0" xfId="0" applyFont="1" applyFill="1"/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83"/>
  <sheetViews>
    <sheetView workbookViewId="0" zoomScale="100" zoomScaleNormal="100">
      <selection activeCell="L29" sqref="L29"/>
    </sheetView>
  </sheetViews>
  <sheetFormatPr defaultRowHeight="15" outlineLevelRow="0" outlineLevelCol="0" x14ac:dyDescent="0.25"/>
  <cols>
    <col min="3" max="3" width="6.85546875" customWidth="1"/>
    <col min="6" max="6" width="15.42578125" customWidth="1"/>
    <col min="7" max="7" width="12.5703125" customWidth="1"/>
    <col min="8" max="8" width="13.85546875" customWidth="1"/>
    <col min="9" max="9" width="18.140625" customWidth="1"/>
    <col min="10" max="10" width="29.7109375" customWidth="1"/>
    <col min="12" max="12" width="51.85546875" customWidth="1"/>
  </cols>
  <sheetData>
    <row r="1" spans="1:31" s="1" customFormat="1" x14ac:dyDescent="0.2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5" t="s">
        <v>14</v>
      </c>
      <c r="P1" s="2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s="7" customFormat="1" x14ac:dyDescent="0.25">
      <c r="A2" s="7"/>
      <c r="B2" s="8">
        <v>0.2</v>
      </c>
      <c r="C2" s="7">
        <v>5001</v>
      </c>
      <c r="D2" s="8" t="s">
        <v>31</v>
      </c>
      <c r="E2" s="9" t="s">
        <v>32</v>
      </c>
      <c r="F2" s="8"/>
      <c r="G2" s="9"/>
      <c r="H2" s="10"/>
      <c r="I2" s="10"/>
      <c r="J2" s="7" t="str">
        <f>(C2)&amp;"-"&amp;(D2)&amp;"-"&amp;(E2)</f>
        <v>5001-PM03-BR</v>
      </c>
      <c r="K2" s="8">
        <f>LEN(J2)</f>
        <v>12</v>
      </c>
      <c r="L2" s="8" t="s">
        <v>33</v>
      </c>
      <c r="M2" s="8">
        <f t="shared" ref="M2:M86" si="0">LEN(L2)</f>
        <v>12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7"/>
    </row>
    <row r="3" spans="1:31" s="11" customFormat="1" x14ac:dyDescent="0.25">
      <c r="A3" s="11"/>
      <c r="B3" s="12">
        <v>0.5</v>
      </c>
      <c r="C3" s="11">
        <v>5001</v>
      </c>
      <c r="D3" s="12" t="s">
        <v>31</v>
      </c>
      <c r="E3" s="12" t="s">
        <v>32</v>
      </c>
      <c r="F3" s="12" t="s">
        <v>34</v>
      </c>
      <c r="G3" s="12"/>
      <c r="H3" s="12"/>
      <c r="I3" s="12"/>
      <c r="J3" s="11" t="str">
        <f>(C3)&amp;"-"&amp;(D3)&amp;"-"&amp;(E3)&amp;"-"&amp;(F3)</f>
        <v>5001-PM03-BR-BR1</v>
      </c>
      <c r="K3" s="12">
        <f>LEN(J3)</f>
        <v>16</v>
      </c>
      <c r="L3" s="12" t="s">
        <v>33</v>
      </c>
      <c r="M3" s="12">
        <f t="shared" si="0"/>
        <v>12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 t="s">
        <v>35</v>
      </c>
      <c r="AE3" s="11"/>
    </row>
    <row r="4" spans="1:31" s="13" customFormat="1" x14ac:dyDescent="0.25">
      <c r="A4" s="13"/>
      <c r="B4" s="14">
        <v>1</v>
      </c>
      <c r="C4" s="13">
        <v>5001</v>
      </c>
      <c r="D4" s="14" t="s">
        <v>31</v>
      </c>
      <c r="E4" s="14" t="s">
        <v>32</v>
      </c>
      <c r="F4" s="14" t="s">
        <v>34</v>
      </c>
      <c r="G4" s="14" t="s">
        <v>36</v>
      </c>
      <c r="H4" s="14"/>
      <c r="I4" s="14"/>
      <c r="J4" s="13" t="str">
        <f>(C4)&amp;"-"&amp;(D4)&amp;"-"&amp;(E4)&amp;"-"&amp;(F4)&amp;"-"&amp;(G4)</f>
        <v>5001-PM03-BR-BR1-35-24L009</v>
      </c>
      <c r="K4" s="14">
        <f>LEN(J4)</f>
        <v>26</v>
      </c>
      <c r="L4" s="14" t="s">
        <v>37</v>
      </c>
      <c r="M4" s="14">
        <f t="shared" si="0"/>
        <v>26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 t="s">
        <v>35</v>
      </c>
      <c r="AE4" s="13"/>
    </row>
    <row r="5" spans="1:31" s="15" customFormat="1" x14ac:dyDescent="0.25">
      <c r="A5" s="15"/>
      <c r="B5" s="16">
        <v>2</v>
      </c>
      <c r="C5" s="15"/>
      <c r="D5" s="17"/>
      <c r="E5" s="17"/>
      <c r="F5" s="17"/>
      <c r="G5" s="15"/>
      <c r="H5" s="15" t="s">
        <v>38</v>
      </c>
      <c r="I5" s="15"/>
      <c r="J5" s="15"/>
      <c r="K5" s="15"/>
      <c r="L5" s="15" t="s">
        <v>39</v>
      </c>
      <c r="M5" s="16">
        <f t="shared" si="0"/>
        <v>32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 t="s">
        <v>35</v>
      </c>
      <c r="AE5" s="15" t="s">
        <v>40</v>
      </c>
    </row>
    <row r="6" spans="1:31" s="15" customFormat="1" x14ac:dyDescent="0.25">
      <c r="A6" s="15"/>
      <c r="B6" s="16">
        <v>2</v>
      </c>
      <c r="C6" s="15"/>
      <c r="D6" s="17"/>
      <c r="E6" s="17"/>
      <c r="F6" s="17"/>
      <c r="G6" s="15"/>
      <c r="H6" s="15" t="s">
        <v>41</v>
      </c>
      <c r="I6" s="15"/>
      <c r="J6" s="15"/>
      <c r="K6" s="15"/>
      <c r="L6" s="15" t="s">
        <v>42</v>
      </c>
      <c r="M6" s="16">
        <f t="shared" si="0"/>
        <v>37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35</v>
      </c>
      <c r="AE6" s="15" t="s">
        <v>40</v>
      </c>
    </row>
    <row r="7" spans="1:31" s="15" customFormat="1" x14ac:dyDescent="0.25">
      <c r="A7" s="15"/>
      <c r="B7" s="16">
        <v>2</v>
      </c>
      <c r="C7" s="15"/>
      <c r="D7" s="17"/>
      <c r="E7" s="17"/>
      <c r="F7" s="17"/>
      <c r="G7" s="15"/>
      <c r="H7" s="15" t="s">
        <v>43</v>
      </c>
      <c r="I7" s="15"/>
      <c r="J7" s="15"/>
      <c r="K7" s="15"/>
      <c r="L7" s="15" t="s">
        <v>44</v>
      </c>
      <c r="M7" s="16">
        <f t="shared" si="0"/>
        <v>32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 t="s">
        <v>35</v>
      </c>
      <c r="AE7" s="15"/>
    </row>
    <row r="8" spans="1:31" s="18" customFormat="1" x14ac:dyDescent="0.25">
      <c r="A8" s="18"/>
      <c r="B8" s="19">
        <v>3</v>
      </c>
      <c r="C8" s="18"/>
      <c r="D8" s="20"/>
      <c r="E8" s="20"/>
      <c r="F8" s="20"/>
      <c r="G8" s="18"/>
      <c r="H8" s="18"/>
      <c r="I8" s="18" t="s">
        <v>45</v>
      </c>
      <c r="J8" s="18"/>
      <c r="K8" s="18"/>
      <c r="L8" s="18" t="s">
        <v>46</v>
      </c>
      <c r="M8" s="19">
        <f t="shared" si="0"/>
        <v>39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 t="s">
        <v>35</v>
      </c>
      <c r="AE8" s="18"/>
    </row>
    <row r="9" spans="1:31" s="15" customFormat="1" x14ac:dyDescent="0.25">
      <c r="A9" s="15"/>
      <c r="B9" s="16">
        <v>2</v>
      </c>
      <c r="C9" s="15"/>
      <c r="D9" s="17"/>
      <c r="E9" s="17"/>
      <c r="F9" s="17"/>
      <c r="G9" s="15"/>
      <c r="H9" s="15" t="s">
        <v>47</v>
      </c>
      <c r="I9" s="15"/>
      <c r="J9" s="15"/>
      <c r="K9" s="15"/>
      <c r="L9" s="15" t="s">
        <v>48</v>
      </c>
      <c r="M9" s="16">
        <f t="shared" si="0"/>
        <v>33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 t="s">
        <v>35</v>
      </c>
      <c r="AE9" s="15"/>
    </row>
    <row r="10" spans="1:31" s="15" customFormat="1" x14ac:dyDescent="0.25">
      <c r="A10" s="15"/>
      <c r="B10" s="16">
        <v>2</v>
      </c>
      <c r="C10" s="15"/>
      <c r="D10" s="17"/>
      <c r="E10" s="17"/>
      <c r="F10" s="17"/>
      <c r="G10" s="15"/>
      <c r="H10" s="15" t="s">
        <v>49</v>
      </c>
      <c r="I10" s="15"/>
      <c r="J10" s="15"/>
      <c r="K10" s="15"/>
      <c r="L10" s="15" t="s">
        <v>50</v>
      </c>
      <c r="M10" s="16">
        <f t="shared" si="0"/>
        <v>37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 t="s">
        <v>35</v>
      </c>
      <c r="AE10" s="15"/>
    </row>
    <row r="11" spans="1:31" s="21" customFormat="1" x14ac:dyDescent="0.25">
      <c r="A11" s="21"/>
      <c r="B11" s="22">
        <v>2</v>
      </c>
      <c r="C11" s="21"/>
      <c r="D11" s="23"/>
      <c r="E11" s="23"/>
      <c r="F11" s="23"/>
      <c r="G11" s="21"/>
      <c r="H11" s="21" t="s">
        <v>51</v>
      </c>
      <c r="I11" s="21"/>
      <c r="J11" s="21"/>
      <c r="K11" s="21"/>
      <c r="L11" s="21" t="s">
        <v>52</v>
      </c>
      <c r="M11" s="22">
        <f t="shared" si="0"/>
        <v>33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 t="s">
        <v>35</v>
      </c>
      <c r="AE11" s="21"/>
    </row>
    <row r="12" spans="1:31" s="21" customFormat="1" x14ac:dyDescent="0.25">
      <c r="A12" s="21"/>
      <c r="B12" s="22">
        <v>2</v>
      </c>
      <c r="C12" s="21"/>
      <c r="D12" s="23"/>
      <c r="E12" s="23"/>
      <c r="F12" s="23"/>
      <c r="G12" s="21"/>
      <c r="H12" s="21" t="s">
        <v>53</v>
      </c>
      <c r="I12" s="21"/>
      <c r="J12" s="21"/>
      <c r="K12" s="21"/>
      <c r="L12" s="21" t="s">
        <v>54</v>
      </c>
      <c r="M12" s="22">
        <f t="shared" si="0"/>
        <v>37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 t="s">
        <v>35</v>
      </c>
      <c r="AE12" s="21"/>
    </row>
    <row r="13" spans="1:31" s="15" customFormat="1" x14ac:dyDescent="0.25">
      <c r="A13" s="15"/>
      <c r="B13" s="16">
        <v>2</v>
      </c>
      <c r="C13" s="15"/>
      <c r="D13" s="17"/>
      <c r="E13" s="17"/>
      <c r="F13" s="17"/>
      <c r="G13" s="15"/>
      <c r="H13" s="15" t="s">
        <v>55</v>
      </c>
      <c r="I13" s="15"/>
      <c r="J13" s="15"/>
      <c r="K13" s="15"/>
      <c r="L13" s="15" t="s">
        <v>56</v>
      </c>
      <c r="M13" s="16">
        <f t="shared" si="0"/>
        <v>27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 t="s">
        <v>35</v>
      </c>
      <c r="AE13" s="15"/>
    </row>
    <row r="14" spans="1:31" s="18" customFormat="1" x14ac:dyDescent="0.25">
      <c r="A14" s="18"/>
      <c r="B14" s="19">
        <v>3</v>
      </c>
      <c r="C14" s="18"/>
      <c r="D14" s="20"/>
      <c r="E14" s="20"/>
      <c r="F14" s="20"/>
      <c r="G14" s="18"/>
      <c r="H14" s="18"/>
      <c r="I14" s="18" t="s">
        <v>57</v>
      </c>
      <c r="J14" s="18"/>
      <c r="K14" s="18"/>
      <c r="L14" s="18" t="s">
        <v>58</v>
      </c>
      <c r="M14" s="19">
        <f t="shared" si="0"/>
        <v>34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 t="s">
        <v>35</v>
      </c>
      <c r="AE14" s="18"/>
    </row>
    <row r="15" spans="1:31" s="18" customFormat="1" x14ac:dyDescent="0.25">
      <c r="A15" s="18"/>
      <c r="B15" s="19">
        <v>3</v>
      </c>
      <c r="C15" s="18"/>
      <c r="D15" s="20"/>
      <c r="E15" s="20"/>
      <c r="F15" s="20"/>
      <c r="G15" s="18"/>
      <c r="H15" s="18"/>
      <c r="I15" s="18" t="s">
        <v>59</v>
      </c>
      <c r="J15" s="18"/>
      <c r="K15" s="18"/>
      <c r="L15" s="18" t="s">
        <v>60</v>
      </c>
      <c r="M15" s="19">
        <f t="shared" si="0"/>
        <v>38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 t="s">
        <v>35</v>
      </c>
      <c r="AE15" s="18"/>
    </row>
    <row r="16" spans="1:31" s="18" customFormat="1" x14ac:dyDescent="0.25">
      <c r="A16" s="18"/>
      <c r="B16" s="19">
        <v>3</v>
      </c>
      <c r="C16" s="18"/>
      <c r="D16" s="20"/>
      <c r="E16" s="20"/>
      <c r="F16" s="20"/>
      <c r="G16" s="18"/>
      <c r="H16" s="18"/>
      <c r="I16" s="18" t="s">
        <v>61</v>
      </c>
      <c r="J16" s="18"/>
      <c r="K16" s="18"/>
      <c r="L16" s="18" t="s">
        <v>62</v>
      </c>
      <c r="M16" s="19">
        <f t="shared" si="0"/>
        <v>40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 t="s">
        <v>35</v>
      </c>
      <c r="AE16" s="18"/>
    </row>
    <row r="17" spans="1:31" s="13" customFormat="1" x14ac:dyDescent="0.25">
      <c r="A17" s="13"/>
      <c r="B17" s="14">
        <v>1</v>
      </c>
      <c r="C17" s="13">
        <v>5001</v>
      </c>
      <c r="D17" s="14" t="s">
        <v>31</v>
      </c>
      <c r="E17" s="14" t="s">
        <v>32</v>
      </c>
      <c r="F17" s="14" t="s">
        <v>34</v>
      </c>
      <c r="G17" s="13" t="s">
        <v>63</v>
      </c>
      <c r="H17" s="14"/>
      <c r="I17" s="14"/>
      <c r="J17" s="13" t="str">
        <f>(C17)&amp;"-"&amp;(D17)&amp;"-"&amp;(E17)&amp;"-"&amp;(F17)&amp;"-"&amp;(G17)</f>
        <v>5001-PM03-BR-BR1-35-24P519</v>
      </c>
      <c r="K17" s="14">
        <f>LEN(J17)</f>
        <v>26</v>
      </c>
      <c r="L17" s="14" t="s">
        <v>64</v>
      </c>
      <c r="M17" s="14">
        <f t="shared" si="0"/>
        <v>29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4" t="s">
        <v>35</v>
      </c>
      <c r="AE17" s="13"/>
    </row>
    <row r="18" spans="1:31" s="15" customFormat="1" x14ac:dyDescent="0.25">
      <c r="A18" s="15"/>
      <c r="B18" s="16">
        <v>2</v>
      </c>
      <c r="C18" s="15"/>
      <c r="D18" s="17"/>
      <c r="E18" s="17"/>
      <c r="F18" s="17"/>
      <c r="G18" s="15"/>
      <c r="H18" s="15" t="s">
        <v>63</v>
      </c>
      <c r="I18" s="15"/>
      <c r="J18" s="15"/>
      <c r="K18" s="15"/>
      <c r="L18" s="15" t="s">
        <v>64</v>
      </c>
      <c r="M18" s="16">
        <f t="shared" si="0"/>
        <v>29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 t="s">
        <v>35</v>
      </c>
      <c r="AE18" s="15"/>
    </row>
    <row r="19" spans="1:31" s="15" customFormat="1" x14ac:dyDescent="0.25">
      <c r="A19" s="15"/>
      <c r="B19" s="16">
        <v>2</v>
      </c>
      <c r="C19" s="15"/>
      <c r="D19" s="17"/>
      <c r="E19" s="17"/>
      <c r="F19" s="17"/>
      <c r="G19" s="15"/>
      <c r="H19" s="15" t="s">
        <v>65</v>
      </c>
      <c r="I19" s="15"/>
      <c r="J19" s="15">
        <v>33</v>
      </c>
      <c r="K19" s="15"/>
      <c r="L19" s="15" t="s">
        <v>66</v>
      </c>
      <c r="M19" s="16">
        <f t="shared" si="0"/>
        <v>35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 t="s">
        <v>35</v>
      </c>
      <c r="AE19" s="15"/>
    </row>
    <row r="20" spans="1:31" s="15" customFormat="1" x14ac:dyDescent="0.25">
      <c r="A20" s="15"/>
      <c r="B20" s="16">
        <v>2</v>
      </c>
      <c r="C20" s="15"/>
      <c r="D20" s="17"/>
      <c r="E20" s="17"/>
      <c r="F20" s="17"/>
      <c r="G20" s="15"/>
      <c r="H20" s="15" t="s">
        <v>67</v>
      </c>
      <c r="I20" s="15"/>
      <c r="J20" s="15"/>
      <c r="K20" s="15"/>
      <c r="L20" s="15" t="s">
        <v>68</v>
      </c>
      <c r="M20" s="16">
        <f t="shared" si="0"/>
        <v>26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 t="s">
        <v>35</v>
      </c>
      <c r="AE20" s="15"/>
    </row>
    <row r="21" spans="1:31" s="18" customFormat="1" x14ac:dyDescent="0.25">
      <c r="A21" s="18"/>
      <c r="B21" s="19">
        <v>3</v>
      </c>
      <c r="C21" s="18"/>
      <c r="D21" s="20"/>
      <c r="E21" s="20"/>
      <c r="F21" s="20"/>
      <c r="G21" s="18"/>
      <c r="H21" s="18"/>
      <c r="I21" s="18" t="s">
        <v>69</v>
      </c>
      <c r="J21" s="18"/>
      <c r="K21" s="18"/>
      <c r="L21" s="18" t="s">
        <v>70</v>
      </c>
      <c r="M21" s="19">
        <f t="shared" si="0"/>
        <v>42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 t="s">
        <v>35</v>
      </c>
      <c r="AE21" s="18"/>
    </row>
    <row r="22" spans="1:31" s="18" customFormat="1" x14ac:dyDescent="0.25">
      <c r="A22" s="18"/>
      <c r="B22" s="19">
        <v>3</v>
      </c>
      <c r="C22" s="18"/>
      <c r="D22" s="20"/>
      <c r="E22" s="20"/>
      <c r="F22" s="20"/>
      <c r="G22" s="18"/>
      <c r="H22" s="18"/>
      <c r="I22" s="18" t="s">
        <v>71</v>
      </c>
      <c r="J22" s="18"/>
      <c r="K22" s="18"/>
      <c r="L22" s="18" t="s">
        <v>72</v>
      </c>
      <c r="M22" s="19">
        <f t="shared" si="0"/>
        <v>37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 t="s">
        <v>35</v>
      </c>
      <c r="AE22" s="18"/>
    </row>
    <row r="23" spans="1:31" s="18" customFormat="1" x14ac:dyDescent="0.25">
      <c r="A23" s="18"/>
      <c r="B23" s="19">
        <v>3</v>
      </c>
      <c r="C23" s="18"/>
      <c r="D23" s="20"/>
      <c r="E23" s="20"/>
      <c r="F23" s="20"/>
      <c r="G23" s="18"/>
      <c r="H23" s="18"/>
      <c r="I23" s="18" t="s">
        <v>73</v>
      </c>
      <c r="J23" s="18"/>
      <c r="K23" s="18"/>
      <c r="L23" s="18" t="s">
        <v>74</v>
      </c>
      <c r="M23" s="19">
        <f t="shared" si="0"/>
        <v>43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 t="s">
        <v>35</v>
      </c>
      <c r="AE23" s="18"/>
    </row>
    <row r="24" spans="1:31" s="18" customFormat="1" x14ac:dyDescent="0.25">
      <c r="A24" s="18"/>
      <c r="B24" s="19">
        <v>3</v>
      </c>
      <c r="C24" s="18"/>
      <c r="D24" s="20"/>
      <c r="E24" s="20"/>
      <c r="F24" s="20"/>
      <c r="G24" s="18"/>
      <c r="H24" s="18"/>
      <c r="I24" s="18" t="s">
        <v>75</v>
      </c>
      <c r="J24" s="18"/>
      <c r="K24" s="18"/>
      <c r="L24" s="18" t="s">
        <v>76</v>
      </c>
      <c r="M24" s="19">
        <f t="shared" si="0"/>
        <v>32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 t="s">
        <v>35</v>
      </c>
      <c r="AE24" s="18"/>
    </row>
    <row r="25" spans="1:31" s="18" customFormat="1" x14ac:dyDescent="0.25">
      <c r="A25" s="18"/>
      <c r="B25" s="19">
        <v>3</v>
      </c>
      <c r="C25" s="18"/>
      <c r="D25" s="20"/>
      <c r="E25" s="20"/>
      <c r="F25" s="20"/>
      <c r="G25" s="18"/>
      <c r="H25" s="18"/>
      <c r="I25" s="18" t="s">
        <v>77</v>
      </c>
      <c r="J25" s="18"/>
      <c r="K25" s="18"/>
      <c r="L25" s="18" t="s">
        <v>78</v>
      </c>
      <c r="M25" s="19">
        <f t="shared" si="0"/>
        <v>42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 t="s">
        <v>35</v>
      </c>
      <c r="AE25" s="18"/>
    </row>
    <row r="26" spans="1:31" s="15" customFormat="1" x14ac:dyDescent="0.25">
      <c r="A26" s="15"/>
      <c r="B26" s="16">
        <v>2</v>
      </c>
      <c r="C26" s="15"/>
      <c r="D26" s="17"/>
      <c r="E26" s="17"/>
      <c r="F26" s="17"/>
      <c r="G26" s="15"/>
      <c r="H26" s="15" t="s">
        <v>79</v>
      </c>
      <c r="I26" s="15"/>
      <c r="J26" s="15"/>
      <c r="K26" s="15"/>
      <c r="L26" s="15" t="s">
        <v>80</v>
      </c>
      <c r="M26" s="16">
        <f t="shared" si="0"/>
        <v>36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 t="s">
        <v>35</v>
      </c>
      <c r="AE26" s="15"/>
    </row>
    <row r="27" spans="1:31" s="18" customFormat="1" x14ac:dyDescent="0.25">
      <c r="A27" s="18"/>
      <c r="B27" s="19">
        <v>3</v>
      </c>
      <c r="C27" s="18"/>
      <c r="D27" s="20"/>
      <c r="E27" s="20"/>
      <c r="F27" s="20"/>
      <c r="G27" s="18"/>
      <c r="H27" s="18"/>
      <c r="I27" s="18" t="s">
        <v>81</v>
      </c>
      <c r="J27" s="18"/>
      <c r="K27" s="18"/>
      <c r="L27" s="18" t="s">
        <v>82</v>
      </c>
      <c r="M27" s="19">
        <f t="shared" si="0"/>
        <v>43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 t="s">
        <v>35</v>
      </c>
      <c r="AE27" s="18"/>
    </row>
    <row r="28" spans="1:31" s="18" customFormat="1" x14ac:dyDescent="0.25">
      <c r="A28" s="18"/>
      <c r="B28" s="19">
        <v>3</v>
      </c>
      <c r="C28" s="18"/>
      <c r="D28" s="20"/>
      <c r="E28" s="20"/>
      <c r="F28" s="20"/>
      <c r="G28" s="18"/>
      <c r="H28" s="18"/>
      <c r="I28" s="18" t="s">
        <v>83</v>
      </c>
      <c r="J28" s="18"/>
      <c r="K28" s="18"/>
      <c r="L28" s="18" t="s">
        <v>84</v>
      </c>
      <c r="M28" s="19">
        <f t="shared" si="0"/>
        <v>46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 t="s">
        <v>35</v>
      </c>
      <c r="AE28" s="18"/>
    </row>
    <row r="29" spans="1:31" s="15" customFormat="1" x14ac:dyDescent="0.25">
      <c r="A29" s="15"/>
      <c r="B29" s="16">
        <v>2</v>
      </c>
      <c r="C29" s="15"/>
      <c r="D29" s="17"/>
      <c r="E29" s="17"/>
      <c r="F29" s="17"/>
      <c r="G29" s="15"/>
      <c r="H29" s="15" t="s">
        <v>85</v>
      </c>
      <c r="I29" s="15"/>
      <c r="J29" s="15"/>
      <c r="K29" s="15"/>
      <c r="L29" s="15" t="s">
        <v>86</v>
      </c>
      <c r="M29" s="16">
        <f t="shared" si="0"/>
        <v>27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 t="s">
        <v>35</v>
      </c>
      <c r="AE29" s="15"/>
    </row>
    <row r="30" spans="1:31" s="15" customFormat="1" x14ac:dyDescent="0.25">
      <c r="A30" s="15"/>
      <c r="B30" s="16">
        <v>2</v>
      </c>
      <c r="C30" s="15"/>
      <c r="D30" s="17"/>
      <c r="E30" s="17"/>
      <c r="F30" s="17"/>
      <c r="G30" s="15"/>
      <c r="H30" s="15" t="s">
        <v>41</v>
      </c>
      <c r="I30" s="15"/>
      <c r="J30" s="15"/>
      <c r="K30" s="15"/>
      <c r="L30" s="15" t="s">
        <v>87</v>
      </c>
      <c r="M30" s="16">
        <f t="shared" si="0"/>
        <v>39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 t="s">
        <v>35</v>
      </c>
      <c r="AE30" s="15"/>
    </row>
    <row r="31" spans="1:31" s="13" customFormat="1" x14ac:dyDescent="0.25">
      <c r="A31" s="13"/>
      <c r="B31" s="14">
        <v>1</v>
      </c>
      <c r="C31" s="13">
        <v>5001</v>
      </c>
      <c r="D31" s="14" t="s">
        <v>31</v>
      </c>
      <c r="E31" s="14" t="s">
        <v>32</v>
      </c>
      <c r="F31" s="14" t="s">
        <v>34</v>
      </c>
      <c r="G31" s="14" t="s">
        <v>88</v>
      </c>
      <c r="H31" s="14"/>
      <c r="I31" s="14"/>
      <c r="J31" s="13" t="str">
        <f t="shared" ref="J31:J38" si="1">(C31)&amp;"-"&amp;(D31)&amp;"-"&amp;(E31)&amp;"-"&amp;(F31)&amp;"-"&amp;(G31)</f>
        <v>5001-PM03-BR-BR1-35-24XS-692</v>
      </c>
      <c r="K31" s="14">
        <f t="shared" ref="K31:K38" si="2">LEN(J31)</f>
        <v>28</v>
      </c>
      <c r="L31" s="14" t="s">
        <v>89</v>
      </c>
      <c r="M31" s="14">
        <f t="shared" si="0"/>
        <v>31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4" t="s">
        <v>35</v>
      </c>
      <c r="AE31" s="13"/>
    </row>
    <row r="32" spans="1:31" s="13" customFormat="1" x14ac:dyDescent="0.25">
      <c r="A32" s="13"/>
      <c r="B32" s="14">
        <v>1</v>
      </c>
      <c r="C32" s="13">
        <v>5001</v>
      </c>
      <c r="D32" s="14" t="s">
        <v>31</v>
      </c>
      <c r="E32" s="14" t="s">
        <v>32</v>
      </c>
      <c r="F32" s="14" t="s">
        <v>34</v>
      </c>
      <c r="G32" s="14" t="s">
        <v>90</v>
      </c>
      <c r="H32" s="14"/>
      <c r="I32" s="14"/>
      <c r="J32" s="13" t="str">
        <f t="shared" si="1"/>
        <v>5001-PM03-BR-BR1-35-24ES-683</v>
      </c>
      <c r="K32" s="14">
        <f t="shared" si="2"/>
        <v>28</v>
      </c>
      <c r="L32" s="14" t="s">
        <v>91</v>
      </c>
      <c r="M32" s="14">
        <f t="shared" si="0"/>
        <v>36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4" t="s">
        <v>35</v>
      </c>
      <c r="AE32" s="13"/>
    </row>
    <row r="33" spans="1:31" s="13" customFormat="1" x14ac:dyDescent="0.25">
      <c r="A33" s="13"/>
      <c r="B33" s="14">
        <v>1</v>
      </c>
      <c r="C33" s="13">
        <v>5001</v>
      </c>
      <c r="D33" s="14" t="s">
        <v>31</v>
      </c>
      <c r="E33" s="14" t="s">
        <v>32</v>
      </c>
      <c r="F33" s="14" t="s">
        <v>34</v>
      </c>
      <c r="G33" s="14" t="s">
        <v>92</v>
      </c>
      <c r="H33" s="14"/>
      <c r="I33" s="14"/>
      <c r="J33" s="13" t="str">
        <f t="shared" si="1"/>
        <v>5001-PM03-BR-BR1-35-24KJ-684</v>
      </c>
      <c r="K33" s="14">
        <f t="shared" si="2"/>
        <v>28</v>
      </c>
      <c r="L33" s="14" t="s">
        <v>93</v>
      </c>
      <c r="M33" s="14">
        <f t="shared" si="0"/>
        <v>35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4" t="s">
        <v>35</v>
      </c>
      <c r="AE33" s="13"/>
    </row>
    <row r="34" spans="1:31" s="13" customFormat="1" x14ac:dyDescent="0.25">
      <c r="A34" s="13"/>
      <c r="B34" s="14">
        <v>1</v>
      </c>
      <c r="C34" s="13">
        <v>5001</v>
      </c>
      <c r="D34" s="14" t="s">
        <v>31</v>
      </c>
      <c r="E34" s="14" t="s">
        <v>32</v>
      </c>
      <c r="F34" s="14" t="s">
        <v>34</v>
      </c>
      <c r="G34" s="14" t="s">
        <v>94</v>
      </c>
      <c r="H34" s="14"/>
      <c r="I34" s="14"/>
      <c r="J34" s="13" t="str">
        <f t="shared" si="1"/>
        <v>5001-PM03-BR-BR1-35-24KJ-685</v>
      </c>
      <c r="K34" s="14">
        <f t="shared" si="2"/>
        <v>28</v>
      </c>
      <c r="L34" s="14" t="s">
        <v>95</v>
      </c>
      <c r="M34" s="14">
        <f t="shared" si="0"/>
        <v>34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4" t="s">
        <v>35</v>
      </c>
      <c r="AE34" s="13"/>
    </row>
    <row r="35" spans="1:31" s="13" customFormat="1" x14ac:dyDescent="0.25">
      <c r="A35" s="13"/>
      <c r="B35" s="14">
        <v>1</v>
      </c>
      <c r="C35" s="13">
        <v>5001</v>
      </c>
      <c r="D35" s="14" t="s">
        <v>31</v>
      </c>
      <c r="E35" s="14" t="s">
        <v>32</v>
      </c>
      <c r="F35" s="14" t="s">
        <v>34</v>
      </c>
      <c r="G35" s="14" t="s">
        <v>96</v>
      </c>
      <c r="H35" s="14"/>
      <c r="I35" s="14"/>
      <c r="J35" s="13" t="str">
        <f t="shared" si="1"/>
        <v>5001-PM03-BR-BR1-35-24HS-682</v>
      </c>
      <c r="K35" s="14">
        <f t="shared" si="2"/>
        <v>28</v>
      </c>
      <c r="L35" s="14" t="s">
        <v>97</v>
      </c>
      <c r="M35" s="14">
        <f t="shared" si="0"/>
        <v>40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4" t="s">
        <v>35</v>
      </c>
      <c r="AE35" s="13"/>
    </row>
    <row r="36" spans="1:31" s="24" customFormat="1" x14ac:dyDescent="0.25">
      <c r="A36" s="24"/>
      <c r="B36" s="25">
        <v>1</v>
      </c>
      <c r="C36" s="24">
        <v>5001</v>
      </c>
      <c r="D36" s="25" t="s">
        <v>31</v>
      </c>
      <c r="E36" s="25" t="s">
        <v>32</v>
      </c>
      <c r="F36" s="25" t="s">
        <v>34</v>
      </c>
      <c r="G36" s="25" t="s">
        <v>98</v>
      </c>
      <c r="H36" s="25"/>
      <c r="I36" s="25"/>
      <c r="J36" s="24" t="str">
        <f t="shared" si="1"/>
        <v>5001-PM03-BR-BR1-35-24HS</v>
      </c>
      <c r="K36" s="25">
        <f t="shared" si="2"/>
        <v>24</v>
      </c>
      <c r="L36" s="25" t="s">
        <v>98</v>
      </c>
      <c r="M36" s="25">
        <f t="shared" si="0"/>
        <v>7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 t="s">
        <v>35</v>
      </c>
      <c r="AE36" s="24"/>
    </row>
    <row r="37" spans="1:31" s="13" customFormat="1" x14ac:dyDescent="0.25">
      <c r="A37" s="13"/>
      <c r="B37" s="14">
        <v>1</v>
      </c>
      <c r="C37" s="13">
        <v>5001</v>
      </c>
      <c r="D37" s="14" t="s">
        <v>31</v>
      </c>
      <c r="E37" s="14" t="s">
        <v>32</v>
      </c>
      <c r="F37" s="14" t="s">
        <v>34</v>
      </c>
      <c r="G37" s="14" t="s">
        <v>99</v>
      </c>
      <c r="H37" s="14"/>
      <c r="I37" s="14"/>
      <c r="J37" s="13" t="str">
        <f t="shared" si="1"/>
        <v>5001-PM03-BR-BR1-35-24HI-676</v>
      </c>
      <c r="K37" s="14">
        <f t="shared" si="2"/>
        <v>28</v>
      </c>
      <c r="L37" s="14" t="s">
        <v>100</v>
      </c>
      <c r="M37" s="14">
        <f t="shared" si="0"/>
        <v>39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4" t="s">
        <v>35</v>
      </c>
      <c r="AE37" s="13"/>
    </row>
    <row r="38" spans="1:31" s="13" customFormat="1" x14ac:dyDescent="0.25">
      <c r="A38" s="13"/>
      <c r="B38" s="14">
        <v>1</v>
      </c>
      <c r="C38" s="13">
        <v>5001</v>
      </c>
      <c r="D38" s="14" t="s">
        <v>31</v>
      </c>
      <c r="E38" s="14" t="s">
        <v>32</v>
      </c>
      <c r="F38" s="14" t="s">
        <v>34</v>
      </c>
      <c r="G38" s="14" t="s">
        <v>101</v>
      </c>
      <c r="H38" s="14"/>
      <c r="I38" s="14"/>
      <c r="J38" s="13" t="str">
        <f t="shared" si="1"/>
        <v>5001-PM03-BR-BR1-35-24L008</v>
      </c>
      <c r="K38" s="14">
        <f t="shared" si="2"/>
        <v>26</v>
      </c>
      <c r="L38" s="14" t="s">
        <v>102</v>
      </c>
      <c r="M38" s="14">
        <f t="shared" si="0"/>
        <v>22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4" t="s">
        <v>35</v>
      </c>
      <c r="AE38" s="13"/>
    </row>
    <row r="39" spans="1:31" s="15" customFormat="1" x14ac:dyDescent="0.25">
      <c r="A39" s="15"/>
      <c r="B39" s="16">
        <v>2</v>
      </c>
      <c r="C39" s="15"/>
      <c r="D39" s="17"/>
      <c r="E39" s="17"/>
      <c r="F39" s="17"/>
      <c r="G39" s="15"/>
      <c r="H39" s="15" t="s">
        <v>103</v>
      </c>
      <c r="I39" s="15"/>
      <c r="J39" s="15"/>
      <c r="K39" s="15"/>
      <c r="L39" s="15" t="s">
        <v>104</v>
      </c>
      <c r="M39" s="16">
        <f t="shared" si="0"/>
        <v>34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 t="s">
        <v>35</v>
      </c>
      <c r="AE39" s="15"/>
    </row>
    <row r="40" spans="1:31" s="15" customFormat="1" x14ac:dyDescent="0.25">
      <c r="A40" s="15"/>
      <c r="B40" s="16">
        <v>2</v>
      </c>
      <c r="C40" s="15"/>
      <c r="D40" s="17"/>
      <c r="E40" s="17"/>
      <c r="F40" s="17"/>
      <c r="G40" s="15"/>
      <c r="H40" s="15" t="s">
        <v>105</v>
      </c>
      <c r="I40" s="15"/>
      <c r="J40" s="15"/>
      <c r="K40" s="15"/>
      <c r="L40" s="15" t="s">
        <v>106</v>
      </c>
      <c r="M40" s="16">
        <f t="shared" si="0"/>
        <v>33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 t="s">
        <v>35</v>
      </c>
      <c r="AE40" s="15"/>
    </row>
    <row r="41" spans="1:31" s="15" customFormat="1" x14ac:dyDescent="0.25">
      <c r="A41" s="15"/>
      <c r="B41" s="16">
        <v>2</v>
      </c>
      <c r="C41" s="15"/>
      <c r="D41" s="17"/>
      <c r="E41" s="17"/>
      <c r="F41" s="17"/>
      <c r="G41" s="15"/>
      <c r="H41" s="15" t="s">
        <v>107</v>
      </c>
      <c r="I41" s="15"/>
      <c r="J41" s="15"/>
      <c r="K41" s="15"/>
      <c r="L41" s="15" t="s">
        <v>108</v>
      </c>
      <c r="M41" s="16">
        <f t="shared" si="0"/>
        <v>28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 t="s">
        <v>35</v>
      </c>
      <c r="AE41" s="15"/>
    </row>
    <row r="42" spans="1:31" s="18" customFormat="1" x14ac:dyDescent="0.25">
      <c r="A42" s="18"/>
      <c r="B42" s="19">
        <v>3</v>
      </c>
      <c r="C42" s="18"/>
      <c r="D42" s="20"/>
      <c r="E42" s="20"/>
      <c r="F42" s="20"/>
      <c r="G42" s="18"/>
      <c r="H42" s="18"/>
      <c r="I42" s="18" t="s">
        <v>109</v>
      </c>
      <c r="J42" s="18"/>
      <c r="K42" s="18"/>
      <c r="L42" s="18" t="s">
        <v>110</v>
      </c>
      <c r="M42" s="19">
        <f t="shared" si="0"/>
        <v>36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 t="s">
        <v>35</v>
      </c>
      <c r="AE42" s="18"/>
    </row>
    <row r="43" spans="1:31" s="15" customFormat="1" x14ac:dyDescent="0.25">
      <c r="A43" s="15"/>
      <c r="B43" s="16">
        <v>2</v>
      </c>
      <c r="C43" s="15"/>
      <c r="D43" s="17"/>
      <c r="E43" s="17"/>
      <c r="F43" s="17"/>
      <c r="G43" s="15"/>
      <c r="H43" s="15" t="s">
        <v>111</v>
      </c>
      <c r="I43" s="15"/>
      <c r="J43" s="15"/>
      <c r="K43" s="15"/>
      <c r="L43" s="15" t="s">
        <v>112</v>
      </c>
      <c r="M43" s="16">
        <f t="shared" si="0"/>
        <v>32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 t="s">
        <v>35</v>
      </c>
      <c r="AE43" s="15"/>
    </row>
    <row r="44" spans="1:31" s="15" customFormat="1" x14ac:dyDescent="0.25">
      <c r="A44" s="15"/>
      <c r="B44" s="16">
        <v>2</v>
      </c>
      <c r="C44" s="15"/>
      <c r="D44" s="17"/>
      <c r="E44" s="17"/>
      <c r="F44" s="17"/>
      <c r="G44" s="15"/>
      <c r="H44" s="15" t="s">
        <v>113</v>
      </c>
      <c r="I44" s="15"/>
      <c r="J44" s="15"/>
      <c r="K44" s="15"/>
      <c r="L44" s="15" t="s">
        <v>114</v>
      </c>
      <c r="M44" s="16">
        <f t="shared" si="0"/>
        <v>36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 t="s">
        <v>35</v>
      </c>
      <c r="AE44" s="15"/>
    </row>
    <row r="45" spans="1:31" s="15" customFormat="1" x14ac:dyDescent="0.25">
      <c r="A45" s="15"/>
      <c r="B45" s="16">
        <v>2</v>
      </c>
      <c r="C45" s="15"/>
      <c r="D45" s="17"/>
      <c r="E45" s="17"/>
      <c r="F45" s="17"/>
      <c r="G45" s="15"/>
      <c r="H45" s="15" t="s">
        <v>115</v>
      </c>
      <c r="I45" s="15"/>
      <c r="J45" s="15"/>
      <c r="K45" s="15"/>
      <c r="L45" s="15" t="s">
        <v>116</v>
      </c>
      <c r="M45" s="16">
        <f t="shared" si="0"/>
        <v>44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 t="s">
        <v>35</v>
      </c>
      <c r="AE45" s="15"/>
    </row>
    <row r="46" spans="1:31" s="15" customFormat="1" x14ac:dyDescent="0.25">
      <c r="A46" s="15"/>
      <c r="B46" s="16">
        <v>2</v>
      </c>
      <c r="C46" s="15"/>
      <c r="D46" s="17"/>
      <c r="E46" s="17"/>
      <c r="F46" s="17"/>
      <c r="G46" s="15"/>
      <c r="H46" s="15" t="s">
        <v>117</v>
      </c>
      <c r="I46" s="15"/>
      <c r="J46" s="15"/>
      <c r="K46" s="15"/>
      <c r="L46" s="15" t="s">
        <v>118</v>
      </c>
      <c r="M46" s="16">
        <f t="shared" si="0"/>
        <v>32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 t="s">
        <v>35</v>
      </c>
      <c r="AE46" s="15"/>
    </row>
    <row r="47" spans="1:31" s="15" customFormat="1" x14ac:dyDescent="0.25">
      <c r="A47" s="15"/>
      <c r="B47" s="16">
        <v>2</v>
      </c>
      <c r="C47" s="15"/>
      <c r="D47" s="17"/>
      <c r="E47" s="17"/>
      <c r="F47" s="17"/>
      <c r="G47" s="15"/>
      <c r="H47" s="15" t="s">
        <v>119</v>
      </c>
      <c r="I47" s="15"/>
      <c r="J47" s="15"/>
      <c r="K47" s="15"/>
      <c r="L47" s="15" t="s">
        <v>120</v>
      </c>
      <c r="M47" s="16">
        <f t="shared" si="0"/>
        <v>36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 t="s">
        <v>35</v>
      </c>
      <c r="AE47" s="15"/>
    </row>
    <row r="48" spans="1:31" s="15" customFormat="1" x14ac:dyDescent="0.25">
      <c r="A48" s="15"/>
      <c r="B48" s="16">
        <v>2</v>
      </c>
      <c r="C48" s="15"/>
      <c r="D48" s="17"/>
      <c r="E48" s="17"/>
      <c r="F48" s="17"/>
      <c r="G48" s="15"/>
      <c r="H48" s="15" t="s">
        <v>121</v>
      </c>
      <c r="I48" s="15"/>
      <c r="J48" s="15"/>
      <c r="K48" s="15"/>
      <c r="L48" s="15" t="s">
        <v>122</v>
      </c>
      <c r="M48" s="16">
        <f t="shared" si="0"/>
        <v>44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 t="s">
        <v>35</v>
      </c>
      <c r="AE48" s="15"/>
    </row>
    <row r="49" spans="1:31" s="15" customFormat="1" x14ac:dyDescent="0.25">
      <c r="A49" s="15"/>
      <c r="B49" s="16">
        <v>2</v>
      </c>
      <c r="C49" s="15"/>
      <c r="D49" s="17"/>
      <c r="E49" s="17"/>
      <c r="F49" s="17"/>
      <c r="G49" s="15"/>
      <c r="H49" s="15" t="s">
        <v>123</v>
      </c>
      <c r="I49" s="15"/>
      <c r="J49" s="15"/>
      <c r="K49" s="15"/>
      <c r="L49" s="15" t="s">
        <v>124</v>
      </c>
      <c r="M49" s="16">
        <f t="shared" si="0"/>
        <v>27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 t="s">
        <v>35</v>
      </c>
      <c r="AE49" s="15"/>
    </row>
    <row r="50" spans="1:31" s="18" customFormat="1" x14ac:dyDescent="0.25">
      <c r="A50" s="18"/>
      <c r="B50" s="19">
        <v>3</v>
      </c>
      <c r="C50" s="18"/>
      <c r="D50" s="20"/>
      <c r="E50" s="20"/>
      <c r="F50" s="20"/>
      <c r="G50" s="18"/>
      <c r="H50" s="18"/>
      <c r="I50" s="18" t="s">
        <v>125</v>
      </c>
      <c r="J50" s="18"/>
      <c r="K50" s="18"/>
      <c r="L50" s="18" t="s">
        <v>126</v>
      </c>
      <c r="M50" s="19">
        <f t="shared" si="0"/>
        <v>45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 t="s">
        <v>35</v>
      </c>
      <c r="AE50" s="18"/>
    </row>
    <row r="51" spans="1:31" s="18" customFormat="1" x14ac:dyDescent="0.25">
      <c r="A51" s="18"/>
      <c r="B51" s="19">
        <v>3</v>
      </c>
      <c r="C51" s="18"/>
      <c r="D51" s="20"/>
      <c r="E51" s="20"/>
      <c r="F51" s="20"/>
      <c r="G51" s="18"/>
      <c r="H51" s="18"/>
      <c r="I51" s="18" t="s">
        <v>127</v>
      </c>
      <c r="J51" s="18"/>
      <c r="K51" s="18"/>
      <c r="L51" s="18" t="s">
        <v>128</v>
      </c>
      <c r="M51" s="19">
        <f t="shared" si="0"/>
        <v>41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 t="s">
        <v>35</v>
      </c>
      <c r="AE51" s="18"/>
    </row>
    <row r="52" spans="1:31" s="18" customFormat="1" x14ac:dyDescent="0.25">
      <c r="A52" s="18"/>
      <c r="B52" s="19">
        <v>3</v>
      </c>
      <c r="C52" s="18"/>
      <c r="D52" s="20"/>
      <c r="E52" s="20"/>
      <c r="F52" s="20"/>
      <c r="G52" s="18"/>
      <c r="H52" s="18"/>
      <c r="I52" s="18" t="s">
        <v>129</v>
      </c>
      <c r="J52" s="18"/>
      <c r="K52" s="18"/>
      <c r="L52" s="18" t="s">
        <v>130</v>
      </c>
      <c r="M52" s="19">
        <f t="shared" si="0"/>
        <v>37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 t="s">
        <v>35</v>
      </c>
      <c r="AE52" s="18"/>
    </row>
    <row r="53" spans="1:31" s="13" customFormat="1" x14ac:dyDescent="0.25">
      <c r="A53" s="13"/>
      <c r="B53" s="14">
        <v>1</v>
      </c>
      <c r="C53" s="13">
        <v>5001</v>
      </c>
      <c r="D53" s="14" t="s">
        <v>31</v>
      </c>
      <c r="E53" s="14" t="s">
        <v>32</v>
      </c>
      <c r="F53" s="14" t="s">
        <v>34</v>
      </c>
      <c r="G53" s="14" t="s">
        <v>131</v>
      </c>
      <c r="H53" s="14"/>
      <c r="I53" s="14"/>
      <c r="J53" s="13" t="str">
        <f t="shared" ref="J53" si="3">(C53)&amp;"-"&amp;(D53)&amp;"-"&amp;(E53)&amp;"-"&amp;(F53)&amp;"-"&amp;(G53)</f>
        <v>5001-PM03-BR-BR1-35-24P509</v>
      </c>
      <c r="K53" s="14">
        <f t="shared" ref="K53" si="4">LEN(J53)</f>
        <v>26</v>
      </c>
      <c r="L53" s="14" t="s">
        <v>132</v>
      </c>
      <c r="M53" s="14">
        <f t="shared" si="0"/>
        <v>25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4" t="s">
        <v>35</v>
      </c>
      <c r="AE53" s="13"/>
    </row>
    <row r="54" spans="1:31" s="15" customFormat="1" x14ac:dyDescent="0.25">
      <c r="A54" s="15"/>
      <c r="B54" s="16">
        <v>2</v>
      </c>
      <c r="C54" s="15"/>
      <c r="D54" s="17"/>
      <c r="E54" s="17"/>
      <c r="F54" s="17"/>
      <c r="G54" s="15"/>
      <c r="H54" s="15" t="s">
        <v>131</v>
      </c>
      <c r="I54" s="15"/>
      <c r="J54" s="15"/>
      <c r="K54" s="15"/>
      <c r="L54" s="15" t="s">
        <v>133</v>
      </c>
      <c r="M54" s="16">
        <f t="shared" si="0"/>
        <v>18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 t="s">
        <v>35</v>
      </c>
      <c r="AE54" s="15"/>
    </row>
    <row r="55" spans="1:31" s="15" customFormat="1" x14ac:dyDescent="0.25">
      <c r="A55" s="15"/>
      <c r="B55" s="16">
        <v>2</v>
      </c>
      <c r="C55" s="15"/>
      <c r="D55" s="17"/>
      <c r="E55" s="17"/>
      <c r="F55" s="17"/>
      <c r="G55" s="15"/>
      <c r="H55" s="15" t="s">
        <v>134</v>
      </c>
      <c r="I55" s="15"/>
      <c r="J55" s="15"/>
      <c r="K55" s="15"/>
      <c r="L55" s="15" t="s">
        <v>135</v>
      </c>
      <c r="M55" s="16">
        <f t="shared" si="0"/>
        <v>31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 t="s">
        <v>35</v>
      </c>
      <c r="AE55" s="15"/>
    </row>
    <row r="56" spans="1:31" s="15" customFormat="1" x14ac:dyDescent="0.25">
      <c r="A56" s="15"/>
      <c r="B56" s="16">
        <v>2</v>
      </c>
      <c r="C56" s="15"/>
      <c r="D56" s="17"/>
      <c r="E56" s="17"/>
      <c r="F56" s="17"/>
      <c r="G56" s="15"/>
      <c r="H56" s="15" t="s">
        <v>136</v>
      </c>
      <c r="I56" s="15"/>
      <c r="J56" s="15"/>
      <c r="K56" s="15"/>
      <c r="L56" s="15" t="s">
        <v>137</v>
      </c>
      <c r="M56" s="16">
        <f t="shared" si="0"/>
        <v>26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 t="s">
        <v>35</v>
      </c>
      <c r="AE56" s="15"/>
    </row>
    <row r="57" spans="1:31" s="18" customFormat="1" x14ac:dyDescent="0.25">
      <c r="A57" s="18"/>
      <c r="B57" s="19">
        <v>3</v>
      </c>
      <c r="C57" s="18"/>
      <c r="D57" s="20"/>
      <c r="E57" s="20"/>
      <c r="F57" s="20"/>
      <c r="G57" s="18"/>
      <c r="H57" s="18"/>
      <c r="I57" s="18" t="s">
        <v>138</v>
      </c>
      <c r="J57" s="18"/>
      <c r="K57" s="18"/>
      <c r="L57" s="18" t="s">
        <v>139</v>
      </c>
      <c r="M57" s="19">
        <f t="shared" si="0"/>
        <v>42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 t="s">
        <v>35</v>
      </c>
      <c r="AE57" s="18"/>
    </row>
    <row r="58" spans="1:31" s="18" customFormat="1" x14ac:dyDescent="0.25">
      <c r="A58" s="18"/>
      <c r="B58" s="19">
        <v>3</v>
      </c>
      <c r="C58" s="18"/>
      <c r="D58" s="20"/>
      <c r="E58" s="20"/>
      <c r="F58" s="20"/>
      <c r="G58" s="18"/>
      <c r="H58" s="18"/>
      <c r="I58" s="18" t="s">
        <v>140</v>
      </c>
      <c r="J58" s="18"/>
      <c r="K58" s="18"/>
      <c r="L58" s="18" t="s">
        <v>141</v>
      </c>
      <c r="M58" s="19">
        <f t="shared" si="0"/>
        <v>40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 t="s">
        <v>35</v>
      </c>
      <c r="AE58" s="18"/>
    </row>
    <row r="59" spans="1:31" s="18" customFormat="1" x14ac:dyDescent="0.25">
      <c r="A59" s="18"/>
      <c r="B59" s="19">
        <v>3</v>
      </c>
      <c r="C59" s="18"/>
      <c r="D59" s="20"/>
      <c r="E59" s="20"/>
      <c r="F59" s="20"/>
      <c r="G59" s="18"/>
      <c r="H59" s="18"/>
      <c r="I59" s="18" t="s">
        <v>142</v>
      </c>
      <c r="J59" s="18"/>
      <c r="K59" s="18"/>
      <c r="L59" s="18" t="s">
        <v>143</v>
      </c>
      <c r="M59" s="19">
        <f t="shared" si="0"/>
        <v>42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 t="s">
        <v>35</v>
      </c>
      <c r="AE59" s="18"/>
    </row>
    <row r="60" spans="1:31" s="18" customFormat="1" x14ac:dyDescent="0.25">
      <c r="A60" s="18"/>
      <c r="B60" s="19">
        <v>3</v>
      </c>
      <c r="C60" s="18"/>
      <c r="D60" s="20"/>
      <c r="E60" s="20"/>
      <c r="F60" s="20"/>
      <c r="G60" s="18"/>
      <c r="H60" s="18"/>
      <c r="I60" s="18" t="s">
        <v>144</v>
      </c>
      <c r="J60" s="18"/>
      <c r="K60" s="18"/>
      <c r="L60" s="18" t="s">
        <v>145</v>
      </c>
      <c r="M60" s="19">
        <f t="shared" si="0"/>
        <v>41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 t="s">
        <v>35</v>
      </c>
      <c r="AE60" s="18"/>
    </row>
    <row r="61" spans="1:31" s="18" customFormat="1" x14ac:dyDescent="0.25">
      <c r="A61" s="18"/>
      <c r="B61" s="19">
        <v>3</v>
      </c>
      <c r="C61" s="18"/>
      <c r="D61" s="20"/>
      <c r="E61" s="20"/>
      <c r="F61" s="20"/>
      <c r="G61" s="18"/>
      <c r="H61" s="18"/>
      <c r="I61" s="18" t="s">
        <v>146</v>
      </c>
      <c r="J61" s="18"/>
      <c r="K61" s="18"/>
      <c r="L61" s="18" t="s">
        <v>147</v>
      </c>
      <c r="M61" s="19">
        <f t="shared" si="0"/>
        <v>33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 t="s">
        <v>35</v>
      </c>
      <c r="AE61" s="18"/>
    </row>
    <row r="62" spans="1:31" s="18" customFormat="1" x14ac:dyDescent="0.25">
      <c r="A62" s="18"/>
      <c r="B62" s="19">
        <v>3</v>
      </c>
      <c r="C62" s="18"/>
      <c r="D62" s="20"/>
      <c r="E62" s="20"/>
      <c r="F62" s="20"/>
      <c r="G62" s="18"/>
      <c r="H62" s="18"/>
      <c r="I62" s="18" t="s">
        <v>148</v>
      </c>
      <c r="J62" s="18"/>
      <c r="K62" s="18"/>
      <c r="L62" s="18" t="s">
        <v>149</v>
      </c>
      <c r="M62" s="19">
        <f t="shared" si="0"/>
        <v>46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 t="s">
        <v>35</v>
      </c>
      <c r="AE62" s="18"/>
    </row>
    <row r="63" spans="1:31" s="15" customFormat="1" x14ac:dyDescent="0.25">
      <c r="A63" s="15"/>
      <c r="B63" s="16">
        <v>2</v>
      </c>
      <c r="C63" s="15"/>
      <c r="D63" s="17"/>
      <c r="E63" s="17"/>
      <c r="F63" s="17"/>
      <c r="G63" s="15"/>
      <c r="H63" s="15" t="s">
        <v>150</v>
      </c>
      <c r="I63" s="15"/>
      <c r="J63" s="15"/>
      <c r="K63" s="15"/>
      <c r="L63" s="15" t="s">
        <v>151</v>
      </c>
      <c r="M63" s="16">
        <f t="shared" si="0"/>
        <v>30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 t="s">
        <v>35</v>
      </c>
      <c r="AE63" s="15"/>
    </row>
    <row r="64" spans="1:31" s="15" customFormat="1" x14ac:dyDescent="0.25">
      <c r="A64" s="15"/>
      <c r="B64" s="16">
        <v>2</v>
      </c>
      <c r="C64" s="15"/>
      <c r="D64" s="17"/>
      <c r="E64" s="17"/>
      <c r="F64" s="17"/>
      <c r="G64" s="15"/>
      <c r="H64" s="15" t="s">
        <v>152</v>
      </c>
      <c r="I64" s="15"/>
      <c r="J64" s="15"/>
      <c r="K64" s="15"/>
      <c r="L64" s="15" t="s">
        <v>153</v>
      </c>
      <c r="M64" s="16">
        <f t="shared" si="0"/>
        <v>47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 t="s">
        <v>35</v>
      </c>
      <c r="AE64" s="15"/>
    </row>
    <row r="65" spans="1:31" s="18" customFormat="1" x14ac:dyDescent="0.25">
      <c r="A65" s="18"/>
      <c r="B65" s="19">
        <v>3</v>
      </c>
      <c r="C65" s="18"/>
      <c r="D65" s="20"/>
      <c r="E65" s="20"/>
      <c r="F65" s="20"/>
      <c r="G65" s="18"/>
      <c r="H65" s="18"/>
      <c r="I65" s="18" t="s">
        <v>154</v>
      </c>
      <c r="J65" s="18"/>
      <c r="K65" s="18"/>
      <c r="L65" s="18" t="s">
        <v>155</v>
      </c>
      <c r="M65" s="19">
        <f t="shared" si="0"/>
        <v>40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 t="s">
        <v>35</v>
      </c>
      <c r="AE65" s="18"/>
    </row>
    <row r="66" spans="1:31" s="18" customFormat="1" x14ac:dyDescent="0.25">
      <c r="A66" s="18"/>
      <c r="B66" s="19">
        <v>3</v>
      </c>
      <c r="C66" s="18"/>
      <c r="D66" s="20"/>
      <c r="E66" s="20"/>
      <c r="F66" s="20"/>
      <c r="G66" s="18"/>
      <c r="H66" s="18"/>
      <c r="I66" s="18" t="s">
        <v>156</v>
      </c>
      <c r="J66" s="18"/>
      <c r="K66" s="18"/>
      <c r="L66" s="18" t="s">
        <v>157</v>
      </c>
      <c r="M66" s="19">
        <f t="shared" si="0"/>
        <v>39</v>
      </c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 t="s">
        <v>35</v>
      </c>
      <c r="AE66" s="18"/>
    </row>
    <row r="67" spans="1:31" s="13" customFormat="1" x14ac:dyDescent="0.25">
      <c r="A67" s="13"/>
      <c r="B67" s="14">
        <v>1</v>
      </c>
      <c r="C67" s="13">
        <v>5001</v>
      </c>
      <c r="D67" s="14" t="s">
        <v>31</v>
      </c>
      <c r="E67" s="14" t="s">
        <v>32</v>
      </c>
      <c r="F67" s="14" t="s">
        <v>34</v>
      </c>
      <c r="G67" s="14" t="s">
        <v>158</v>
      </c>
      <c r="H67" s="14"/>
      <c r="I67" s="14"/>
      <c r="J67" s="13" t="str">
        <f t="shared" ref="J67:J78" si="5">(C67)&amp;"-"&amp;(D67)&amp;"-"&amp;(E67)&amp;"-"&amp;(F67)&amp;"-"&amp;(G67)</f>
        <v>5001-PM03-BR-BR1-35-24XS-691</v>
      </c>
      <c r="K67" s="14">
        <f t="shared" ref="K67:K78" si="6">LEN(J67)</f>
        <v>28</v>
      </c>
      <c r="L67" s="14" t="s">
        <v>159</v>
      </c>
      <c r="M67" s="14">
        <f t="shared" si="0"/>
        <v>37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4" t="s">
        <v>35</v>
      </c>
      <c r="AE67" s="13"/>
    </row>
    <row r="68" spans="1:31" s="13" customFormat="1" x14ac:dyDescent="0.25">
      <c r="A68" s="13"/>
      <c r="B68" s="14">
        <v>1</v>
      </c>
      <c r="C68" s="13">
        <v>5001</v>
      </c>
      <c r="D68" s="14" t="s">
        <v>31</v>
      </c>
      <c r="E68" s="14" t="s">
        <v>32</v>
      </c>
      <c r="F68" s="14" t="s">
        <v>34</v>
      </c>
      <c r="G68" s="14" t="s">
        <v>160</v>
      </c>
      <c r="H68" s="14"/>
      <c r="I68" s="14"/>
      <c r="J68" s="13" t="str">
        <f t="shared" si="5"/>
        <v>5001-PM03-BR-BR1-35-24ES-508</v>
      </c>
      <c r="K68" s="14">
        <f t="shared" si="6"/>
        <v>28</v>
      </c>
      <c r="L68" s="14" t="s">
        <v>161</v>
      </c>
      <c r="M68" s="14">
        <f t="shared" si="0"/>
        <v>30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4" t="s">
        <v>35</v>
      </c>
      <c r="AE68" s="13"/>
    </row>
    <row r="69" spans="1:31" s="13" customFormat="1" x14ac:dyDescent="0.25">
      <c r="A69" s="13"/>
      <c r="B69" s="14">
        <v>1</v>
      </c>
      <c r="C69" s="13">
        <v>5001</v>
      </c>
      <c r="D69" s="14" t="s">
        <v>31</v>
      </c>
      <c r="E69" s="14" t="s">
        <v>32</v>
      </c>
      <c r="F69" s="14" t="s">
        <v>34</v>
      </c>
      <c r="G69" s="14" t="s">
        <v>162</v>
      </c>
      <c r="H69" s="14"/>
      <c r="I69" s="14"/>
      <c r="J69" s="13" t="str">
        <f t="shared" si="5"/>
        <v>5001-PM03-BR-BR1-35-24KJ-510</v>
      </c>
      <c r="K69" s="14">
        <f t="shared" si="6"/>
        <v>28</v>
      </c>
      <c r="L69" s="14" t="s">
        <v>163</v>
      </c>
      <c r="M69" s="14">
        <f t="shared" si="0"/>
        <v>32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4" t="s">
        <v>35</v>
      </c>
      <c r="AE69" s="13"/>
    </row>
    <row r="70" spans="1:31" s="13" customFormat="1" x14ac:dyDescent="0.25">
      <c r="A70" s="13"/>
      <c r="B70" s="14">
        <v>1</v>
      </c>
      <c r="C70" s="13">
        <v>5001</v>
      </c>
      <c r="D70" s="14" t="s">
        <v>31</v>
      </c>
      <c r="E70" s="14" t="s">
        <v>32</v>
      </c>
      <c r="F70" s="14" t="s">
        <v>34</v>
      </c>
      <c r="G70" s="14" t="s">
        <v>164</v>
      </c>
      <c r="H70" s="14"/>
      <c r="I70" s="14"/>
      <c r="J70" s="13" t="str">
        <f t="shared" si="5"/>
        <v>5001-PM03-BR-BR1-35-24KJ-511</v>
      </c>
      <c r="K70" s="14">
        <f t="shared" si="6"/>
        <v>28</v>
      </c>
      <c r="L70" s="14" t="s">
        <v>165</v>
      </c>
      <c r="M70" s="14">
        <f t="shared" si="0"/>
        <v>30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4" t="s">
        <v>35</v>
      </c>
      <c r="AE70" s="13"/>
    </row>
    <row r="71" spans="1:31" s="13" customFormat="1" x14ac:dyDescent="0.25">
      <c r="A71" s="13"/>
      <c r="B71" s="14">
        <v>1</v>
      </c>
      <c r="C71" s="13">
        <v>5001</v>
      </c>
      <c r="D71" s="14" t="s">
        <v>31</v>
      </c>
      <c r="E71" s="14" t="s">
        <v>32</v>
      </c>
      <c r="F71" s="14" t="s">
        <v>34</v>
      </c>
      <c r="G71" s="14" t="s">
        <v>166</v>
      </c>
      <c r="H71" s="14"/>
      <c r="I71" s="14"/>
      <c r="J71" s="13" t="str">
        <f t="shared" si="5"/>
        <v>5001-PM03-BR-BR1-35-24HS-509</v>
      </c>
      <c r="K71" s="14">
        <f t="shared" si="6"/>
        <v>28</v>
      </c>
      <c r="L71" s="14" t="s">
        <v>167</v>
      </c>
      <c r="M71" s="14">
        <f t="shared" si="0"/>
        <v>37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4" t="s">
        <v>35</v>
      </c>
      <c r="AE71" s="13"/>
    </row>
    <row r="72" spans="1:31" s="13" customFormat="1" x14ac:dyDescent="0.25">
      <c r="A72" s="13"/>
      <c r="B72" s="14">
        <v>1</v>
      </c>
      <c r="C72" s="13">
        <v>5001</v>
      </c>
      <c r="D72" s="14" t="s">
        <v>31</v>
      </c>
      <c r="E72" s="14" t="s">
        <v>32</v>
      </c>
      <c r="F72" s="14" t="s">
        <v>34</v>
      </c>
      <c r="G72" s="14" t="s">
        <v>168</v>
      </c>
      <c r="H72" s="14"/>
      <c r="I72" s="14"/>
      <c r="J72" s="13" t="str">
        <f t="shared" si="5"/>
        <v>5001-PM03-BR-BR1-35-24HS-516</v>
      </c>
      <c r="K72" s="14">
        <f t="shared" si="6"/>
        <v>28</v>
      </c>
      <c r="L72" s="14" t="s">
        <v>169</v>
      </c>
      <c r="M72" s="14">
        <f t="shared" si="0"/>
        <v>39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4" t="s">
        <v>35</v>
      </c>
      <c r="AE72" s="13"/>
    </row>
    <row r="73" spans="1:31" s="13" customFormat="1" x14ac:dyDescent="0.25">
      <c r="A73" s="13"/>
      <c r="B73" s="14">
        <v>1</v>
      </c>
      <c r="C73" s="13">
        <v>5001</v>
      </c>
      <c r="D73" s="14" t="s">
        <v>31</v>
      </c>
      <c r="E73" s="14" t="s">
        <v>32</v>
      </c>
      <c r="F73" s="14" t="s">
        <v>34</v>
      </c>
      <c r="G73" s="14" t="s">
        <v>170</v>
      </c>
      <c r="H73" s="14"/>
      <c r="I73" s="14"/>
      <c r="J73" s="13" t="str">
        <f t="shared" si="5"/>
        <v>5001-PM03-BR-BR1-35-24HI-516</v>
      </c>
      <c r="K73" s="14">
        <f t="shared" si="6"/>
        <v>28</v>
      </c>
      <c r="L73" s="14" t="s">
        <v>171</v>
      </c>
      <c r="M73" s="14">
        <f t="shared" si="0"/>
        <v>39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4" t="s">
        <v>35</v>
      </c>
      <c r="AE73" s="13"/>
    </row>
    <row r="74" spans="1:31" s="13" customFormat="1" x14ac:dyDescent="0.25">
      <c r="A74" s="13"/>
      <c r="B74" s="14">
        <v>1</v>
      </c>
      <c r="C74" s="13">
        <v>5001</v>
      </c>
      <c r="D74" s="14" t="s">
        <v>31</v>
      </c>
      <c r="E74" s="14" t="s">
        <v>32</v>
      </c>
      <c r="F74" s="14" t="s">
        <v>34</v>
      </c>
      <c r="G74" s="14" t="s">
        <v>172</v>
      </c>
      <c r="H74" s="14"/>
      <c r="I74" s="14"/>
      <c r="J74" s="13" t="str">
        <f t="shared" si="5"/>
        <v>5001-PM03-BR-BR1-35-24HS-501</v>
      </c>
      <c r="K74" s="14">
        <f t="shared" si="6"/>
        <v>28</v>
      </c>
      <c r="L74" s="14" t="s">
        <v>173</v>
      </c>
      <c r="M74" s="14">
        <f t="shared" si="0"/>
        <v>35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4" t="s">
        <v>35</v>
      </c>
      <c r="AE74" s="13"/>
    </row>
    <row r="75" spans="1:31" s="13" customFormat="1" x14ac:dyDescent="0.25">
      <c r="A75" s="13"/>
      <c r="B75" s="14">
        <v>1</v>
      </c>
      <c r="C75" s="13">
        <v>5001</v>
      </c>
      <c r="D75" s="14" t="s">
        <v>31</v>
      </c>
      <c r="E75" s="14" t="s">
        <v>32</v>
      </c>
      <c r="F75" s="14" t="s">
        <v>34</v>
      </c>
      <c r="G75" s="14" t="s">
        <v>174</v>
      </c>
      <c r="H75" s="14"/>
      <c r="I75" s="14"/>
      <c r="J75" s="13" t="str">
        <f t="shared" si="5"/>
        <v>5001-PM03-BR-BR1-35-24HI-501</v>
      </c>
      <c r="K75" s="14">
        <f t="shared" si="6"/>
        <v>28</v>
      </c>
      <c r="L75" s="14" t="s">
        <v>175</v>
      </c>
      <c r="M75" s="14">
        <f t="shared" si="0"/>
        <v>35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4" t="s">
        <v>35</v>
      </c>
      <c r="AE75" s="13"/>
    </row>
    <row r="76" spans="1:31" s="13" customFormat="1" x14ac:dyDescent="0.25">
      <c r="A76" s="13"/>
      <c r="B76" s="14">
        <v>1</v>
      </c>
      <c r="C76" s="13">
        <v>5001</v>
      </c>
      <c r="D76" s="14" t="s">
        <v>31</v>
      </c>
      <c r="E76" s="14" t="s">
        <v>32</v>
      </c>
      <c r="F76" s="14" t="s">
        <v>34</v>
      </c>
      <c r="G76" s="14" t="s">
        <v>176</v>
      </c>
      <c r="H76" s="14"/>
      <c r="I76" s="14"/>
      <c r="J76" s="13" t="str">
        <f t="shared" si="5"/>
        <v>5001-PM03-BR-BR1-35-24HS-503</v>
      </c>
      <c r="K76" s="14">
        <f t="shared" si="6"/>
        <v>28</v>
      </c>
      <c r="L76" s="14" t="s">
        <v>177</v>
      </c>
      <c r="M76" s="14">
        <f t="shared" si="0"/>
        <v>38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4" t="s">
        <v>35</v>
      </c>
      <c r="AE76" s="13"/>
    </row>
    <row r="77" spans="1:31" s="13" customFormat="1" x14ac:dyDescent="0.25">
      <c r="A77" s="13"/>
      <c r="B77" s="14">
        <v>1</v>
      </c>
      <c r="C77" s="13">
        <v>5001</v>
      </c>
      <c r="D77" s="14" t="s">
        <v>31</v>
      </c>
      <c r="E77" s="14" t="s">
        <v>32</v>
      </c>
      <c r="F77" s="14" t="s">
        <v>34</v>
      </c>
      <c r="G77" s="14" t="s">
        <v>178</v>
      </c>
      <c r="H77" s="14"/>
      <c r="I77" s="14"/>
      <c r="J77" s="13" t="str">
        <f t="shared" si="5"/>
        <v>5001-PM03-BR-BR1-35-24HI-503</v>
      </c>
      <c r="K77" s="14">
        <f t="shared" si="6"/>
        <v>28</v>
      </c>
      <c r="L77" s="14" t="s">
        <v>179</v>
      </c>
      <c r="M77" s="14">
        <f t="shared" si="0"/>
        <v>38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4" t="s">
        <v>35</v>
      </c>
      <c r="AE77" s="13"/>
    </row>
    <row r="78" spans="1:31" s="13" customFormat="1" x14ac:dyDescent="0.25">
      <c r="A78" s="13"/>
      <c r="B78" s="14">
        <v>1</v>
      </c>
      <c r="C78" s="13">
        <v>5001</v>
      </c>
      <c r="D78" s="14" t="s">
        <v>31</v>
      </c>
      <c r="E78" s="14" t="s">
        <v>32</v>
      </c>
      <c r="F78" s="14" t="s">
        <v>34</v>
      </c>
      <c r="G78" s="14" t="s">
        <v>180</v>
      </c>
      <c r="H78" s="14"/>
      <c r="I78" s="14"/>
      <c r="J78" s="13" t="str">
        <f t="shared" si="5"/>
        <v>5001-PM03-BR-BR1-35-24L007</v>
      </c>
      <c r="K78" s="14">
        <f t="shared" si="6"/>
        <v>26</v>
      </c>
      <c r="L78" s="14" t="s">
        <v>181</v>
      </c>
      <c r="M78" s="14">
        <f t="shared" si="0"/>
        <v>24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4" t="s">
        <v>35</v>
      </c>
      <c r="AE78" s="13"/>
    </row>
    <row r="79" spans="1:31" s="15" customFormat="1" x14ac:dyDescent="0.25">
      <c r="A79" s="15"/>
      <c r="B79" s="16">
        <v>2</v>
      </c>
      <c r="C79" s="15"/>
      <c r="D79" s="17"/>
      <c r="E79" s="17"/>
      <c r="F79" s="17"/>
      <c r="G79" s="15"/>
      <c r="H79" s="15" t="s">
        <v>182</v>
      </c>
      <c r="I79" s="15"/>
      <c r="J79" s="15"/>
      <c r="K79" s="15"/>
      <c r="L79" s="15" t="s">
        <v>183</v>
      </c>
      <c r="M79" s="16">
        <f t="shared" si="0"/>
        <v>34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 t="s">
        <v>35</v>
      </c>
      <c r="AE79" s="15"/>
    </row>
    <row r="80" spans="1:31" s="15" customFormat="1" x14ac:dyDescent="0.25">
      <c r="A80" s="15"/>
      <c r="B80" s="16">
        <v>2</v>
      </c>
      <c r="C80" s="15"/>
      <c r="D80" s="17"/>
      <c r="E80" s="17"/>
      <c r="F80" s="17"/>
      <c r="G80" s="15"/>
      <c r="H80" s="15" t="s">
        <v>184</v>
      </c>
      <c r="I80" s="15"/>
      <c r="J80" s="15"/>
      <c r="K80" s="15"/>
      <c r="L80" s="15" t="s">
        <v>185</v>
      </c>
      <c r="M80" s="16">
        <f t="shared" si="0"/>
        <v>35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 t="s">
        <v>35</v>
      </c>
      <c r="AE80" s="15"/>
    </row>
    <row r="81" spans="1:31" s="15" customFormat="1" x14ac:dyDescent="0.25">
      <c r="A81" s="15"/>
      <c r="B81" s="16">
        <v>2</v>
      </c>
      <c r="C81" s="15"/>
      <c r="D81" s="17"/>
      <c r="E81" s="17"/>
      <c r="F81" s="17"/>
      <c r="G81" s="15"/>
      <c r="H81" s="15" t="s">
        <v>186</v>
      </c>
      <c r="I81" s="15"/>
      <c r="J81" s="15"/>
      <c r="K81" s="15"/>
      <c r="L81" s="15" t="s">
        <v>187</v>
      </c>
      <c r="M81" s="16">
        <f t="shared" si="0"/>
        <v>30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 t="s">
        <v>35</v>
      </c>
      <c r="AE81" s="15"/>
    </row>
    <row r="82" spans="1:31" s="18" customFormat="1" x14ac:dyDescent="0.25">
      <c r="A82" s="18"/>
      <c r="B82" s="19">
        <v>3</v>
      </c>
      <c r="C82" s="18"/>
      <c r="D82" s="20"/>
      <c r="E82" s="20"/>
      <c r="F82" s="20"/>
      <c r="G82" s="18"/>
      <c r="H82" s="18"/>
      <c r="I82" s="18" t="s">
        <v>188</v>
      </c>
      <c r="J82" s="18"/>
      <c r="K82" s="18"/>
      <c r="L82" s="18" t="s">
        <v>189</v>
      </c>
      <c r="M82" s="19">
        <f t="shared" si="0"/>
        <v>41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 t="s">
        <v>35</v>
      </c>
      <c r="AE82" s="18"/>
    </row>
    <row r="83" spans="1:31" s="15" customFormat="1" x14ac:dyDescent="0.25">
      <c r="A83" s="15"/>
      <c r="B83" s="16">
        <v>2</v>
      </c>
      <c r="C83" s="15"/>
      <c r="D83" s="17"/>
      <c r="E83" s="17"/>
      <c r="F83" s="17"/>
      <c r="G83" s="15"/>
      <c r="H83" s="15" t="s">
        <v>190</v>
      </c>
      <c r="I83" s="15"/>
      <c r="J83" s="15"/>
      <c r="K83" s="15"/>
      <c r="L83" s="15" t="s">
        <v>191</v>
      </c>
      <c r="M83" s="16">
        <f t="shared" si="0"/>
        <v>34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 t="s">
        <v>35</v>
      </c>
      <c r="AE83" s="15"/>
    </row>
    <row r="84" spans="1:31" s="15" customFormat="1" x14ac:dyDescent="0.25">
      <c r="A84" s="15"/>
      <c r="B84" s="16">
        <v>2</v>
      </c>
      <c r="C84" s="15"/>
      <c r="D84" s="17"/>
      <c r="E84" s="17"/>
      <c r="F84" s="17"/>
      <c r="G84" s="15"/>
      <c r="H84" s="15" t="s">
        <v>192</v>
      </c>
      <c r="I84" s="15"/>
      <c r="J84" s="15"/>
      <c r="K84" s="15"/>
      <c r="L84" s="15" t="s">
        <v>193</v>
      </c>
      <c r="M84" s="16">
        <f t="shared" si="0"/>
        <v>37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 t="s">
        <v>35</v>
      </c>
      <c r="AE84" s="15"/>
    </row>
    <row r="85" spans="1:31" s="15" customFormat="1" x14ac:dyDescent="0.25">
      <c r="A85" s="15"/>
      <c r="B85" s="16">
        <v>2</v>
      </c>
      <c r="C85" s="15"/>
      <c r="D85" s="17"/>
      <c r="E85" s="17"/>
      <c r="F85" s="17"/>
      <c r="G85" s="15"/>
      <c r="H85" s="15" t="s">
        <v>194</v>
      </c>
      <c r="I85" s="15"/>
      <c r="J85" s="15"/>
      <c r="K85" s="15"/>
      <c r="L85" s="15" t="s">
        <v>195</v>
      </c>
      <c r="M85" s="16">
        <f t="shared" si="0"/>
        <v>41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 t="s">
        <v>35</v>
      </c>
      <c r="AE85" s="15"/>
    </row>
    <row r="86" spans="1:31" s="15" customFormat="1" x14ac:dyDescent="0.25">
      <c r="A86" s="15"/>
      <c r="B86" s="16">
        <v>2</v>
      </c>
      <c r="C86" s="15"/>
      <c r="D86" s="17"/>
      <c r="E86" s="17"/>
      <c r="F86" s="17"/>
      <c r="G86" s="15"/>
      <c r="H86" s="15" t="s">
        <v>196</v>
      </c>
      <c r="I86" s="15"/>
      <c r="J86" s="15"/>
      <c r="K86" s="15"/>
      <c r="L86" s="15" t="s">
        <v>197</v>
      </c>
      <c r="M86" s="16">
        <f t="shared" si="0"/>
        <v>34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 t="s">
        <v>35</v>
      </c>
      <c r="AE86" s="15"/>
    </row>
    <row r="87" spans="1:31" s="15" customFormat="1" x14ac:dyDescent="0.25">
      <c r="A87" s="15"/>
      <c r="B87" s="16">
        <v>2</v>
      </c>
      <c r="C87" s="15"/>
      <c r="D87" s="17"/>
      <c r="E87" s="17"/>
      <c r="F87" s="17"/>
      <c r="G87" s="15"/>
      <c r="H87" s="15" t="s">
        <v>198</v>
      </c>
      <c r="I87" s="15"/>
      <c r="J87" s="15"/>
      <c r="K87" s="15"/>
      <c r="L87" s="15" t="s">
        <v>199</v>
      </c>
      <c r="M87" s="16">
        <f t="shared" ref="M87:M165" si="7">LEN(L87)</f>
        <v>37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 t="s">
        <v>35</v>
      </c>
      <c r="AE87" s="15"/>
    </row>
    <row r="88" spans="1:31" s="15" customFormat="1" x14ac:dyDescent="0.25">
      <c r="A88" s="15"/>
      <c r="B88" s="16">
        <v>2</v>
      </c>
      <c r="C88" s="15"/>
      <c r="D88" s="17"/>
      <c r="E88" s="17"/>
      <c r="F88" s="17"/>
      <c r="G88" s="15"/>
      <c r="H88" s="15" t="s">
        <v>200</v>
      </c>
      <c r="I88" s="15"/>
      <c r="J88" s="15"/>
      <c r="K88" s="15"/>
      <c r="L88" s="15" t="s">
        <v>201</v>
      </c>
      <c r="M88" s="16">
        <f t="shared" si="7"/>
        <v>41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 t="s">
        <v>35</v>
      </c>
      <c r="AE88" s="15"/>
    </row>
    <row r="89" spans="1:31" s="15" customFormat="1" x14ac:dyDescent="0.25">
      <c r="A89" s="15"/>
      <c r="B89" s="16">
        <v>2</v>
      </c>
      <c r="C89" s="15"/>
      <c r="D89" s="17"/>
      <c r="E89" s="17"/>
      <c r="F89" s="17"/>
      <c r="G89" s="15"/>
      <c r="H89" s="15" t="s">
        <v>202</v>
      </c>
      <c r="I89" s="15"/>
      <c r="J89" s="15"/>
      <c r="K89" s="15"/>
      <c r="L89" s="15" t="s">
        <v>203</v>
      </c>
      <c r="M89" s="16">
        <f t="shared" si="7"/>
        <v>27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 t="s">
        <v>35</v>
      </c>
      <c r="AE89" s="15"/>
    </row>
    <row r="90" spans="1:31" s="18" customFormat="1" x14ac:dyDescent="0.25">
      <c r="A90" s="18"/>
      <c r="B90" s="19">
        <v>3</v>
      </c>
      <c r="C90" s="18"/>
      <c r="D90" s="20"/>
      <c r="E90" s="20"/>
      <c r="F90" s="20"/>
      <c r="G90" s="18"/>
      <c r="H90" s="18"/>
      <c r="I90" s="18" t="s">
        <v>204</v>
      </c>
      <c r="J90" s="18"/>
      <c r="K90" s="18"/>
      <c r="L90" s="18" t="s">
        <v>205</v>
      </c>
      <c r="M90" s="19">
        <f t="shared" si="7"/>
        <v>44</v>
      </c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 t="s">
        <v>35</v>
      </c>
      <c r="AE90" s="18"/>
    </row>
    <row r="91" spans="1:31" s="18" customFormat="1" x14ac:dyDescent="0.25">
      <c r="A91" s="18"/>
      <c r="B91" s="19">
        <v>3</v>
      </c>
      <c r="C91" s="18"/>
      <c r="D91" s="20"/>
      <c r="E91" s="20"/>
      <c r="F91" s="20"/>
      <c r="G91" s="18"/>
      <c r="H91" s="18"/>
      <c r="I91" s="18" t="s">
        <v>206</v>
      </c>
      <c r="J91" s="18"/>
      <c r="K91" s="18"/>
      <c r="L91" s="18" t="s">
        <v>207</v>
      </c>
      <c r="M91" s="19">
        <f t="shared" si="7"/>
        <v>41</v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 t="s">
        <v>35</v>
      </c>
      <c r="AE91" s="18"/>
    </row>
    <row r="92" spans="1:31" s="18" customFormat="1" x14ac:dyDescent="0.25">
      <c r="A92" s="18"/>
      <c r="B92" s="19">
        <v>3</v>
      </c>
      <c r="C92" s="18"/>
      <c r="D92" s="20"/>
      <c r="E92" s="20"/>
      <c r="F92" s="20"/>
      <c r="G92" s="18"/>
      <c r="H92" s="18"/>
      <c r="I92" s="18" t="s">
        <v>208</v>
      </c>
      <c r="J92" s="18"/>
      <c r="K92" s="18"/>
      <c r="L92" s="18" t="s">
        <v>209</v>
      </c>
      <c r="M92" s="19">
        <f t="shared" si="7"/>
        <v>37</v>
      </c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 t="s">
        <v>35</v>
      </c>
      <c r="AE92" s="18"/>
    </row>
    <row r="93" spans="1:31" s="13" customFormat="1" x14ac:dyDescent="0.25">
      <c r="A93" s="13"/>
      <c r="B93" s="14">
        <v>1</v>
      </c>
      <c r="C93" s="13">
        <v>5001</v>
      </c>
      <c r="D93" s="14" t="s">
        <v>31</v>
      </c>
      <c r="E93" s="14" t="s">
        <v>32</v>
      </c>
      <c r="F93" s="14" t="s">
        <v>34</v>
      </c>
      <c r="G93" s="14" t="s">
        <v>210</v>
      </c>
      <c r="H93" s="14"/>
      <c r="I93" s="14"/>
      <c r="J93" s="13" t="str">
        <f t="shared" ref="J93" si="8">(C93)&amp;"-"&amp;(D93)&amp;"-"&amp;(E93)&amp;"-"&amp;(F93)&amp;"-"&amp;(G93)</f>
        <v>5001-PM03-BR-BR1-35-24P508</v>
      </c>
      <c r="K93" s="14">
        <f t="shared" ref="K93" si="9">LEN(J93)</f>
        <v>26</v>
      </c>
      <c r="L93" s="14" t="s">
        <v>211</v>
      </c>
      <c r="M93" s="14">
        <f t="shared" si="7"/>
        <v>27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4" t="s">
        <v>35</v>
      </c>
      <c r="AE93" s="13"/>
    </row>
    <row r="94" spans="1:31" s="15" customFormat="1" x14ac:dyDescent="0.25">
      <c r="A94" s="15"/>
      <c r="B94" s="16">
        <v>2</v>
      </c>
      <c r="C94" s="15"/>
      <c r="D94" s="17"/>
      <c r="E94" s="17"/>
      <c r="F94" s="17"/>
      <c r="G94" s="15"/>
      <c r="H94" s="15" t="s">
        <v>210</v>
      </c>
      <c r="I94" s="15"/>
      <c r="J94" s="15"/>
      <c r="K94" s="15"/>
      <c r="L94" s="15" t="s">
        <v>212</v>
      </c>
      <c r="M94" s="16">
        <f t="shared" si="7"/>
        <v>18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 t="s">
        <v>35</v>
      </c>
      <c r="AE94" s="15"/>
    </row>
    <row r="95" spans="1:31" s="18" customFormat="1" x14ac:dyDescent="0.25">
      <c r="A95" s="18"/>
      <c r="B95" s="19">
        <v>3</v>
      </c>
      <c r="C95" s="18"/>
      <c r="D95" s="20"/>
      <c r="E95" s="20"/>
      <c r="F95" s="20"/>
      <c r="G95" s="18"/>
      <c r="H95" s="18"/>
      <c r="I95" s="18" t="s">
        <v>213</v>
      </c>
      <c r="J95" s="18"/>
      <c r="K95" s="18"/>
      <c r="L95" s="18" t="s">
        <v>214</v>
      </c>
      <c r="M95" s="19">
        <f t="shared" si="7"/>
        <v>33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 t="s">
        <v>35</v>
      </c>
      <c r="AE95" s="18"/>
    </row>
    <row r="96" spans="1:31" s="15" customFormat="1" x14ac:dyDescent="0.25">
      <c r="A96" s="15"/>
      <c r="B96" s="16">
        <v>2</v>
      </c>
      <c r="C96" s="15"/>
      <c r="D96" s="17"/>
      <c r="E96" s="17"/>
      <c r="F96" s="17"/>
      <c r="G96" s="15"/>
      <c r="H96" s="15" t="s">
        <v>215</v>
      </c>
      <c r="I96" s="15"/>
      <c r="J96" s="15"/>
      <c r="K96" s="15"/>
      <c r="L96" s="15" t="s">
        <v>216</v>
      </c>
      <c r="M96" s="16">
        <f t="shared" si="7"/>
        <v>26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 t="s">
        <v>35</v>
      </c>
      <c r="AE96" s="15"/>
    </row>
    <row r="97" spans="1:31" s="18" customFormat="1" x14ac:dyDescent="0.25">
      <c r="A97" s="18"/>
      <c r="B97" s="19">
        <v>3</v>
      </c>
      <c r="C97" s="18"/>
      <c r="D97" s="20"/>
      <c r="E97" s="20"/>
      <c r="F97" s="20"/>
      <c r="G97" s="18"/>
      <c r="H97" s="18"/>
      <c r="I97" s="18" t="s">
        <v>217</v>
      </c>
      <c r="J97" s="18"/>
      <c r="K97" s="18"/>
      <c r="L97" s="18" t="s">
        <v>218</v>
      </c>
      <c r="M97" s="19">
        <f t="shared" si="7"/>
        <v>42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 t="s">
        <v>35</v>
      </c>
      <c r="AE97" s="18"/>
    </row>
    <row r="98" spans="1:31" s="18" customFormat="1" x14ac:dyDescent="0.25">
      <c r="A98" s="18"/>
      <c r="B98" s="19">
        <v>3</v>
      </c>
      <c r="C98" s="18"/>
      <c r="D98" s="20"/>
      <c r="E98" s="20"/>
      <c r="F98" s="20"/>
      <c r="G98" s="18"/>
      <c r="H98" s="18"/>
      <c r="I98" s="18" t="s">
        <v>219</v>
      </c>
      <c r="J98" s="18"/>
      <c r="K98" s="18"/>
      <c r="L98" s="18" t="s">
        <v>220</v>
      </c>
      <c r="M98" s="19">
        <f t="shared" si="7"/>
        <v>40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 t="s">
        <v>35</v>
      </c>
      <c r="AE98" s="18"/>
    </row>
    <row r="99" spans="1:31" s="18" customFormat="1" x14ac:dyDescent="0.25">
      <c r="A99" s="18"/>
      <c r="B99" s="19">
        <v>3</v>
      </c>
      <c r="C99" s="18"/>
      <c r="D99" s="20"/>
      <c r="E99" s="20"/>
      <c r="F99" s="20"/>
      <c r="G99" s="18"/>
      <c r="H99" s="18"/>
      <c r="I99" s="18" t="s">
        <v>221</v>
      </c>
      <c r="J99" s="18"/>
      <c r="K99" s="18"/>
      <c r="L99" s="18" t="s">
        <v>222</v>
      </c>
      <c r="M99" s="19">
        <f t="shared" si="7"/>
        <v>41</v>
      </c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 t="s">
        <v>35</v>
      </c>
      <c r="AE99" s="18"/>
    </row>
    <row r="100" spans="1:31" s="18" customFormat="1" x14ac:dyDescent="0.25">
      <c r="A100" s="18"/>
      <c r="B100" s="19">
        <v>3</v>
      </c>
      <c r="C100" s="18"/>
      <c r="D100" s="20"/>
      <c r="E100" s="20"/>
      <c r="F100" s="20"/>
      <c r="G100" s="18"/>
      <c r="H100" s="18"/>
      <c r="I100" s="18" t="s">
        <v>223</v>
      </c>
      <c r="J100" s="18"/>
      <c r="K100" s="18"/>
      <c r="L100" s="18" t="s">
        <v>224</v>
      </c>
      <c r="M100" s="19">
        <f t="shared" si="7"/>
        <v>41</v>
      </c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 t="s">
        <v>35</v>
      </c>
      <c r="AE100" s="18"/>
    </row>
    <row r="101" spans="1:31" s="18" customFormat="1" x14ac:dyDescent="0.25">
      <c r="A101" s="18"/>
      <c r="B101" s="19">
        <v>3</v>
      </c>
      <c r="C101" s="18"/>
      <c r="D101" s="20"/>
      <c r="E101" s="20"/>
      <c r="F101" s="20"/>
      <c r="G101" s="18"/>
      <c r="H101" s="18"/>
      <c r="I101" s="18" t="s">
        <v>225</v>
      </c>
      <c r="J101" s="18"/>
      <c r="K101" s="18"/>
      <c r="L101" s="18" t="s">
        <v>226</v>
      </c>
      <c r="M101" s="19">
        <f t="shared" si="7"/>
        <v>35</v>
      </c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 t="s">
        <v>35</v>
      </c>
      <c r="AE101" s="18"/>
    </row>
    <row r="102" spans="1:31" s="18" customFormat="1" x14ac:dyDescent="0.25">
      <c r="A102" s="18"/>
      <c r="B102" s="19">
        <v>3</v>
      </c>
      <c r="C102" s="18"/>
      <c r="D102" s="20"/>
      <c r="E102" s="20"/>
      <c r="F102" s="20"/>
      <c r="G102" s="18"/>
      <c r="H102" s="18"/>
      <c r="I102" s="18" t="s">
        <v>227</v>
      </c>
      <c r="J102" s="18"/>
      <c r="K102" s="18"/>
      <c r="L102" s="18" t="s">
        <v>228</v>
      </c>
      <c r="M102" s="19">
        <f t="shared" si="7"/>
        <v>48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 t="s">
        <v>35</v>
      </c>
      <c r="AE102" s="18"/>
    </row>
    <row r="103" spans="1:31" s="15" customFormat="1" x14ac:dyDescent="0.25">
      <c r="A103" s="15"/>
      <c r="B103" s="16">
        <v>2</v>
      </c>
      <c r="C103" s="15"/>
      <c r="D103" s="17"/>
      <c r="E103" s="17"/>
      <c r="F103" s="17"/>
      <c r="G103" s="15"/>
      <c r="H103" s="15" t="s">
        <v>229</v>
      </c>
      <c r="I103" s="15"/>
      <c r="J103" s="15"/>
      <c r="K103" s="15"/>
      <c r="L103" s="15" t="s">
        <v>230</v>
      </c>
      <c r="M103" s="16">
        <f t="shared" si="7"/>
        <v>30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 t="s">
        <v>35</v>
      </c>
      <c r="AE103" s="15"/>
    </row>
    <row r="104" spans="1:31" s="15" customFormat="1" x14ac:dyDescent="0.25">
      <c r="A104" s="15"/>
      <c r="B104" s="16">
        <v>2</v>
      </c>
      <c r="C104" s="15"/>
      <c r="D104" s="17"/>
      <c r="E104" s="17"/>
      <c r="F104" s="17"/>
      <c r="G104" s="15"/>
      <c r="H104" s="15" t="s">
        <v>231</v>
      </c>
      <c r="I104" s="15"/>
      <c r="J104" s="15"/>
      <c r="K104" s="15"/>
      <c r="L104" s="15" t="s">
        <v>232</v>
      </c>
      <c r="M104" s="16">
        <f t="shared" si="7"/>
        <v>49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 t="s">
        <v>35</v>
      </c>
      <c r="AE104" s="15"/>
    </row>
    <row r="105" spans="1:31" s="18" customFormat="1" x14ac:dyDescent="0.25">
      <c r="A105" s="18"/>
      <c r="B105" s="19">
        <v>3</v>
      </c>
      <c r="C105" s="18"/>
      <c r="D105" s="20"/>
      <c r="E105" s="20"/>
      <c r="F105" s="20"/>
      <c r="G105" s="18"/>
      <c r="H105" s="18"/>
      <c r="I105" s="18" t="s">
        <v>233</v>
      </c>
      <c r="J105" s="18"/>
      <c r="K105" s="18"/>
      <c r="L105" s="18" t="s">
        <v>234</v>
      </c>
      <c r="M105" s="19">
        <f t="shared" si="7"/>
        <v>41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 t="s">
        <v>35</v>
      </c>
      <c r="AE105" s="18"/>
    </row>
    <row r="106" spans="1:31" s="18" customFormat="1" x14ac:dyDescent="0.25">
      <c r="A106" s="18"/>
      <c r="B106" s="19">
        <v>3</v>
      </c>
      <c r="C106" s="18"/>
      <c r="D106" s="20"/>
      <c r="E106" s="20"/>
      <c r="F106" s="20"/>
      <c r="G106" s="18"/>
      <c r="H106" s="18"/>
      <c r="I106" s="18" t="s">
        <v>235</v>
      </c>
      <c r="J106" s="18"/>
      <c r="K106" s="18"/>
      <c r="L106" s="18" t="s">
        <v>236</v>
      </c>
      <c r="M106" s="19">
        <f t="shared" si="7"/>
        <v>41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 t="s">
        <v>35</v>
      </c>
      <c r="AE106" s="18"/>
    </row>
    <row r="107" spans="1:31" s="13" customFormat="1" x14ac:dyDescent="0.25">
      <c r="A107" s="13"/>
      <c r="B107" s="14">
        <v>1</v>
      </c>
      <c r="C107" s="13">
        <v>5001</v>
      </c>
      <c r="D107" s="14" t="s">
        <v>31</v>
      </c>
      <c r="E107" s="14" t="s">
        <v>32</v>
      </c>
      <c r="F107" s="14" t="s">
        <v>34</v>
      </c>
      <c r="G107" s="14" t="s">
        <v>237</v>
      </c>
      <c r="H107" s="14"/>
      <c r="I107" s="14"/>
      <c r="J107" s="13" t="str">
        <f t="shared" ref="J107:J115" si="10">(C107)&amp;"-"&amp;(D107)&amp;"-"&amp;(E107)&amp;"-"&amp;(F107)&amp;"-"&amp;(G107)</f>
        <v>5001-PM03-BR-BR1-35-24XS-690</v>
      </c>
      <c r="K107" s="14">
        <f t="shared" ref="K107:K115" si="11">LEN(J107)</f>
        <v>28</v>
      </c>
      <c r="L107" s="14" t="s">
        <v>238</v>
      </c>
      <c r="M107" s="14">
        <f t="shared" si="7"/>
        <v>38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4" t="s">
        <v>35</v>
      </c>
      <c r="AE107" s="13"/>
    </row>
    <row r="108" spans="1:31" s="13" customFormat="1" x14ac:dyDescent="0.25">
      <c r="A108" s="13"/>
      <c r="B108" s="14">
        <v>1</v>
      </c>
      <c r="C108" s="13">
        <v>5001</v>
      </c>
      <c r="D108" s="14" t="s">
        <v>31</v>
      </c>
      <c r="E108" s="14" t="s">
        <v>32</v>
      </c>
      <c r="F108" s="14" t="s">
        <v>34</v>
      </c>
      <c r="G108" s="14" t="s">
        <v>239</v>
      </c>
      <c r="H108" s="14"/>
      <c r="I108" s="14"/>
      <c r="J108" s="13" t="str">
        <f t="shared" si="10"/>
        <v>5001-PM03-BR-BR1-35-24KJ-523</v>
      </c>
      <c r="K108" s="14">
        <f t="shared" si="11"/>
        <v>28</v>
      </c>
      <c r="L108" s="14" t="s">
        <v>240</v>
      </c>
      <c r="M108" s="14">
        <f t="shared" si="7"/>
        <v>34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4" t="s">
        <v>35</v>
      </c>
      <c r="AE108" s="13"/>
    </row>
    <row r="109" spans="1:31" s="13" customFormat="1" x14ac:dyDescent="0.25">
      <c r="A109" s="13"/>
      <c r="B109" s="14">
        <v>1</v>
      </c>
      <c r="C109" s="13">
        <v>5001</v>
      </c>
      <c r="D109" s="14" t="s">
        <v>31</v>
      </c>
      <c r="E109" s="14" t="s">
        <v>32</v>
      </c>
      <c r="F109" s="14" t="s">
        <v>34</v>
      </c>
      <c r="G109" s="14" t="s">
        <v>241</v>
      </c>
      <c r="H109" s="14"/>
      <c r="I109" s="14"/>
      <c r="J109" s="13" t="str">
        <f t="shared" si="10"/>
        <v>5001-PM03-BR-BR1-35-24KJ-524</v>
      </c>
      <c r="K109" s="14">
        <f t="shared" si="11"/>
        <v>28</v>
      </c>
      <c r="L109" s="14" t="s">
        <v>242</v>
      </c>
      <c r="M109" s="14">
        <f t="shared" si="7"/>
        <v>33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4" t="s">
        <v>35</v>
      </c>
      <c r="AE109" s="13"/>
    </row>
    <row r="110" spans="1:31" s="13" customFormat="1" x14ac:dyDescent="0.25">
      <c r="A110" s="13"/>
      <c r="B110" s="14">
        <v>1</v>
      </c>
      <c r="C110" s="13">
        <v>5001</v>
      </c>
      <c r="D110" s="14" t="s">
        <v>31</v>
      </c>
      <c r="E110" s="14" t="s">
        <v>32</v>
      </c>
      <c r="F110" s="14" t="s">
        <v>34</v>
      </c>
      <c r="G110" s="14" t="s">
        <v>243</v>
      </c>
      <c r="H110" s="14"/>
      <c r="I110" s="14"/>
      <c r="J110" s="13" t="str">
        <f t="shared" si="10"/>
        <v>5001-PM03-BR-BR1-35-24HS-522</v>
      </c>
      <c r="K110" s="14">
        <f t="shared" si="11"/>
        <v>28</v>
      </c>
      <c r="L110" s="14" t="s">
        <v>244</v>
      </c>
      <c r="M110" s="14">
        <f t="shared" si="7"/>
        <v>38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4" t="s">
        <v>35</v>
      </c>
      <c r="AE110" s="13"/>
    </row>
    <row r="111" spans="1:31" s="13" customFormat="1" x14ac:dyDescent="0.25">
      <c r="A111" s="13"/>
      <c r="B111" s="14">
        <v>1</v>
      </c>
      <c r="C111" s="13">
        <v>5001</v>
      </c>
      <c r="D111" s="14" t="s">
        <v>31</v>
      </c>
      <c r="E111" s="14" t="s">
        <v>32</v>
      </c>
      <c r="F111" s="14" t="s">
        <v>34</v>
      </c>
      <c r="G111" s="14" t="s">
        <v>245</v>
      </c>
      <c r="H111" s="14"/>
      <c r="I111" s="14"/>
      <c r="J111" s="13" t="str">
        <f t="shared" si="10"/>
        <v>5001-PM03-BR-BR1-35-24HS-529</v>
      </c>
      <c r="K111" s="14">
        <f t="shared" si="11"/>
        <v>28</v>
      </c>
      <c r="L111" s="14" t="s">
        <v>246</v>
      </c>
      <c r="M111" s="14">
        <f t="shared" si="7"/>
        <v>38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4" t="s">
        <v>35</v>
      </c>
      <c r="AE111" s="13"/>
    </row>
    <row r="112" spans="1:31" s="13" customFormat="1" x14ac:dyDescent="0.25">
      <c r="A112" s="13"/>
      <c r="B112" s="14">
        <v>1</v>
      </c>
      <c r="C112" s="13">
        <v>5001</v>
      </c>
      <c r="D112" s="14" t="s">
        <v>31</v>
      </c>
      <c r="E112" s="14" t="s">
        <v>32</v>
      </c>
      <c r="F112" s="14" t="s">
        <v>34</v>
      </c>
      <c r="G112" s="14" t="s">
        <v>247</v>
      </c>
      <c r="H112" s="14"/>
      <c r="I112" s="14"/>
      <c r="J112" s="13" t="str">
        <f t="shared" si="10"/>
        <v>5001-PM03-BR-BR1-35-24HI-529</v>
      </c>
      <c r="K112" s="14">
        <f t="shared" si="11"/>
        <v>28</v>
      </c>
      <c r="L112" s="14" t="s">
        <v>248</v>
      </c>
      <c r="M112" s="14">
        <f t="shared" si="7"/>
        <v>38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4" t="s">
        <v>35</v>
      </c>
      <c r="AE112" s="13"/>
    </row>
    <row r="113" spans="1:31" s="13" customFormat="1" x14ac:dyDescent="0.25">
      <c r="A113" s="13"/>
      <c r="B113" s="14">
        <v>1</v>
      </c>
      <c r="C113" s="13">
        <v>5001</v>
      </c>
      <c r="D113" s="14" t="s">
        <v>31</v>
      </c>
      <c r="E113" s="14" t="s">
        <v>32</v>
      </c>
      <c r="F113" s="14" t="s">
        <v>34</v>
      </c>
      <c r="G113" s="14" t="s">
        <v>249</v>
      </c>
      <c r="H113" s="14"/>
      <c r="I113" s="14"/>
      <c r="J113" s="13" t="str">
        <f t="shared" si="10"/>
        <v>5001-PM03-BR-BR1-35-24HS-532</v>
      </c>
      <c r="K113" s="14">
        <f t="shared" si="11"/>
        <v>28</v>
      </c>
      <c r="L113" s="14" t="s">
        <v>250</v>
      </c>
      <c r="M113" s="14">
        <f t="shared" si="7"/>
        <v>37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4" t="s">
        <v>35</v>
      </c>
      <c r="AE113" s="13"/>
    </row>
    <row r="114" spans="1:31" s="13" customFormat="1" x14ac:dyDescent="0.25">
      <c r="A114" s="13"/>
      <c r="B114" s="14">
        <v>1</v>
      </c>
      <c r="C114" s="13">
        <v>5001</v>
      </c>
      <c r="D114" s="14" t="s">
        <v>31</v>
      </c>
      <c r="E114" s="14" t="s">
        <v>32</v>
      </c>
      <c r="F114" s="14" t="s">
        <v>34</v>
      </c>
      <c r="G114" s="14" t="s">
        <v>251</v>
      </c>
      <c r="H114" s="14"/>
      <c r="I114" s="14"/>
      <c r="J114" s="13" t="str">
        <f t="shared" si="10"/>
        <v>5001-PM03-BR-BR1-35-24HI-532</v>
      </c>
      <c r="K114" s="14">
        <f t="shared" si="11"/>
        <v>28</v>
      </c>
      <c r="L114" s="14" t="s">
        <v>252</v>
      </c>
      <c r="M114" s="14">
        <f t="shared" si="7"/>
        <v>37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4" t="s">
        <v>35</v>
      </c>
      <c r="AE114" s="13"/>
    </row>
    <row r="115" spans="1:31" s="13" customFormat="1" x14ac:dyDescent="0.25">
      <c r="A115" s="13"/>
      <c r="B115" s="14">
        <v>1</v>
      </c>
      <c r="C115" s="13">
        <v>5001</v>
      </c>
      <c r="D115" s="14" t="s">
        <v>31</v>
      </c>
      <c r="E115" s="14" t="s">
        <v>32</v>
      </c>
      <c r="F115" s="14" t="s">
        <v>34</v>
      </c>
      <c r="G115" s="14" t="s">
        <v>253</v>
      </c>
      <c r="H115" s="14"/>
      <c r="I115" s="14"/>
      <c r="J115" s="13" t="str">
        <f t="shared" si="10"/>
        <v>5001-PM03-BR-BR1-35-24L006</v>
      </c>
      <c r="K115" s="14">
        <f t="shared" si="11"/>
        <v>26</v>
      </c>
      <c r="L115" s="14" t="s">
        <v>254</v>
      </c>
      <c r="M115" s="14">
        <f t="shared" si="7"/>
        <v>27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4" t="s">
        <v>35</v>
      </c>
      <c r="AE115" s="13"/>
    </row>
    <row r="116" spans="1:31" s="15" customFormat="1" x14ac:dyDescent="0.25">
      <c r="A116" s="15"/>
      <c r="B116" s="16">
        <v>2</v>
      </c>
      <c r="C116" s="15"/>
      <c r="D116" s="17"/>
      <c r="E116" s="17"/>
      <c r="F116" s="17"/>
      <c r="G116" s="15"/>
      <c r="H116" s="15" t="s">
        <v>255</v>
      </c>
      <c r="I116" s="15"/>
      <c r="J116" s="15"/>
      <c r="K116" s="15"/>
      <c r="L116" s="15" t="s">
        <v>256</v>
      </c>
      <c r="M116" s="16">
        <f t="shared" si="7"/>
        <v>32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 t="s">
        <v>35</v>
      </c>
      <c r="AE116" s="15"/>
    </row>
    <row r="117" spans="1:31" s="13" customFormat="1" x14ac:dyDescent="0.25">
      <c r="A117" s="13"/>
      <c r="B117" s="14">
        <v>1</v>
      </c>
      <c r="C117" s="13">
        <v>5001</v>
      </c>
      <c r="D117" s="14" t="s">
        <v>31</v>
      </c>
      <c r="E117" s="14" t="s">
        <v>32</v>
      </c>
      <c r="F117" s="14" t="s">
        <v>34</v>
      </c>
      <c r="G117" s="14" t="s">
        <v>257</v>
      </c>
      <c r="H117" s="14"/>
      <c r="I117" s="14"/>
      <c r="J117" s="13" t="str">
        <f>(C117)&amp;"-"&amp;(D117)&amp;"-"&amp;(E117)&amp;"-"&amp;(F117)&amp;"-"&amp;(G117)</f>
        <v>5001-PM03-BR-BR1-35-24L005</v>
      </c>
      <c r="K117" s="14">
        <f>LEN(J117)</f>
        <v>26</v>
      </c>
      <c r="L117" s="14" t="s">
        <v>258</v>
      </c>
      <c r="M117" s="14">
        <f t="shared" si="7"/>
        <v>20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4" t="s">
        <v>35</v>
      </c>
      <c r="AE117" s="13"/>
    </row>
    <row r="118" spans="1:31" s="15" customFormat="1" x14ac:dyDescent="0.25">
      <c r="A118" s="15"/>
      <c r="B118" s="16">
        <v>2</v>
      </c>
      <c r="C118" s="15"/>
      <c r="D118" s="17"/>
      <c r="E118" s="17"/>
      <c r="F118" s="17"/>
      <c r="G118" s="15"/>
      <c r="H118" s="15" t="s">
        <v>259</v>
      </c>
      <c r="I118" s="15"/>
      <c r="J118" s="15"/>
      <c r="K118" s="15"/>
      <c r="L118" s="15" t="s">
        <v>260</v>
      </c>
      <c r="M118" s="16">
        <f t="shared" si="7"/>
        <v>31</v>
      </c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 t="s">
        <v>35</v>
      </c>
      <c r="AE118" s="15"/>
    </row>
    <row r="119" spans="1:31" s="15" customFormat="1" x14ac:dyDescent="0.25">
      <c r="A119" s="15"/>
      <c r="B119" s="16">
        <v>2</v>
      </c>
      <c r="C119" s="15"/>
      <c r="D119" s="17"/>
      <c r="E119" s="17"/>
      <c r="F119" s="17"/>
      <c r="G119" s="15"/>
      <c r="H119" s="15" t="s">
        <v>261</v>
      </c>
      <c r="I119" s="15"/>
      <c r="J119" s="15"/>
      <c r="K119" s="15"/>
      <c r="L119" s="15" t="s">
        <v>262</v>
      </c>
      <c r="M119" s="16">
        <f t="shared" si="7"/>
        <v>26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 t="s">
        <v>35</v>
      </c>
      <c r="AE119" s="15"/>
    </row>
    <row r="120" spans="1:31" s="18" customFormat="1" x14ac:dyDescent="0.25">
      <c r="A120" s="18"/>
      <c r="B120" s="19">
        <v>3</v>
      </c>
      <c r="C120" s="18"/>
      <c r="D120" s="20"/>
      <c r="E120" s="20"/>
      <c r="F120" s="20"/>
      <c r="G120" s="18"/>
      <c r="H120" s="18"/>
      <c r="I120" s="18" t="s">
        <v>263</v>
      </c>
      <c r="J120" s="18"/>
      <c r="K120" s="18"/>
      <c r="L120" s="18" t="s">
        <v>264</v>
      </c>
      <c r="M120" s="19">
        <f t="shared" si="7"/>
        <v>33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 t="s">
        <v>35</v>
      </c>
      <c r="AE120" s="18"/>
    </row>
    <row r="121" spans="1:31" s="15" customFormat="1" x14ac:dyDescent="0.25">
      <c r="A121" s="15"/>
      <c r="B121" s="16">
        <v>2</v>
      </c>
      <c r="C121" s="15"/>
      <c r="D121" s="17"/>
      <c r="E121" s="17"/>
      <c r="F121" s="17"/>
      <c r="G121" s="15"/>
      <c r="H121" s="15" t="s">
        <v>265</v>
      </c>
      <c r="I121" s="15"/>
      <c r="J121" s="15"/>
      <c r="K121" s="15"/>
      <c r="L121" s="15" t="s">
        <v>266</v>
      </c>
      <c r="M121" s="16">
        <f t="shared" si="7"/>
        <v>30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 t="s">
        <v>35</v>
      </c>
      <c r="AE121" s="15"/>
    </row>
    <row r="122" spans="1:31" s="18" customFormat="1" x14ac:dyDescent="0.25">
      <c r="A122" s="18"/>
      <c r="B122" s="19">
        <v>3</v>
      </c>
      <c r="C122" s="18"/>
      <c r="D122" s="20"/>
      <c r="E122" s="20"/>
      <c r="F122" s="20"/>
      <c r="G122" s="18"/>
      <c r="H122" s="18"/>
      <c r="I122" s="18" t="s">
        <v>267</v>
      </c>
      <c r="J122" s="18"/>
      <c r="K122" s="18"/>
      <c r="L122" s="18" t="s">
        <v>268</v>
      </c>
      <c r="M122" s="19">
        <f>LEN(L122)</f>
        <v>41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 t="s">
        <v>35</v>
      </c>
      <c r="AE122" s="18"/>
    </row>
    <row r="123" spans="1:31" s="18" customFormat="1" x14ac:dyDescent="0.25">
      <c r="A123" s="18"/>
      <c r="B123" s="19">
        <v>3</v>
      </c>
      <c r="C123" s="18"/>
      <c r="D123" s="20"/>
      <c r="E123" s="20"/>
      <c r="F123" s="20"/>
      <c r="G123" s="18"/>
      <c r="H123" s="18"/>
      <c r="I123" s="18" t="s">
        <v>269</v>
      </c>
      <c r="J123" s="18"/>
      <c r="K123" s="18"/>
      <c r="L123" s="18" t="s">
        <v>270</v>
      </c>
      <c r="M123" s="19">
        <f>LEN(L123)</f>
        <v>49</v>
      </c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 t="s">
        <v>35</v>
      </c>
      <c r="AE123" s="18"/>
    </row>
    <row r="124" spans="1:31" s="15" customFormat="1" x14ac:dyDescent="0.25">
      <c r="A124" s="15"/>
      <c r="B124" s="16">
        <v>2</v>
      </c>
      <c r="C124" s="15"/>
      <c r="D124" s="17"/>
      <c r="E124" s="17"/>
      <c r="F124" s="17"/>
      <c r="G124" s="15"/>
      <c r="H124" s="15" t="s">
        <v>271</v>
      </c>
      <c r="I124" s="15"/>
      <c r="J124" s="15"/>
      <c r="K124" s="15"/>
      <c r="L124" s="15" t="s">
        <v>272</v>
      </c>
      <c r="M124" s="16">
        <f t="shared" si="7"/>
        <v>33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 t="s">
        <v>35</v>
      </c>
      <c r="AE124" s="15"/>
    </row>
    <row r="125" spans="1:31" s="15" customFormat="1" x14ac:dyDescent="0.25">
      <c r="A125" s="15"/>
      <c r="B125" s="16">
        <v>2</v>
      </c>
      <c r="C125" s="15"/>
      <c r="D125" s="17"/>
      <c r="E125" s="17"/>
      <c r="F125" s="17"/>
      <c r="G125" s="15"/>
      <c r="H125" s="15" t="s">
        <v>273</v>
      </c>
      <c r="I125" s="15"/>
      <c r="J125" s="15"/>
      <c r="K125" s="15"/>
      <c r="L125" s="15" t="s">
        <v>274</v>
      </c>
      <c r="M125" s="16">
        <f t="shared" si="7"/>
        <v>30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 t="s">
        <v>35</v>
      </c>
      <c r="AE125" s="15"/>
    </row>
    <row r="126" spans="1:31" s="18" customFormat="1" x14ac:dyDescent="0.25">
      <c r="A126" s="18"/>
      <c r="B126" s="19">
        <v>3</v>
      </c>
      <c r="C126" s="18"/>
      <c r="D126" s="20"/>
      <c r="E126" s="20"/>
      <c r="F126" s="20"/>
      <c r="G126" s="18"/>
      <c r="H126" s="18"/>
      <c r="I126" s="18" t="s">
        <v>275</v>
      </c>
      <c r="J126" s="18"/>
      <c r="K126" s="18"/>
      <c r="L126" s="18" t="s">
        <v>276</v>
      </c>
      <c r="M126" s="19">
        <f>LEN(L126)</f>
        <v>41</v>
      </c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 t="s">
        <v>35</v>
      </c>
      <c r="AE126" s="18"/>
    </row>
    <row r="127" spans="1:31" s="18" customFormat="1" x14ac:dyDescent="0.25">
      <c r="A127" s="18"/>
      <c r="B127" s="19">
        <v>3</v>
      </c>
      <c r="C127" s="18"/>
      <c r="D127" s="20"/>
      <c r="E127" s="20"/>
      <c r="F127" s="20"/>
      <c r="G127" s="18"/>
      <c r="H127" s="18"/>
      <c r="I127" s="18" t="s">
        <v>277</v>
      </c>
      <c r="J127" s="18"/>
      <c r="K127" s="18"/>
      <c r="L127" s="18" t="s">
        <v>278</v>
      </c>
      <c r="M127" s="19">
        <f t="shared" ref="M127" si="12">LEN(L127)</f>
        <v>49</v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 t="s">
        <v>35</v>
      </c>
      <c r="AE127" s="18"/>
    </row>
    <row r="128" spans="1:31" s="15" customFormat="1" x14ac:dyDescent="0.25">
      <c r="A128" s="15"/>
      <c r="B128" s="16">
        <v>2</v>
      </c>
      <c r="C128" s="15"/>
      <c r="D128" s="17"/>
      <c r="E128" s="17"/>
      <c r="F128" s="17"/>
      <c r="G128" s="15"/>
      <c r="H128" s="15" t="s">
        <v>279</v>
      </c>
      <c r="I128" s="15"/>
      <c r="J128" s="15"/>
      <c r="K128" s="15"/>
      <c r="L128" s="15" t="s">
        <v>280</v>
      </c>
      <c r="M128" s="16">
        <f t="shared" si="7"/>
        <v>33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 t="s">
        <v>35</v>
      </c>
      <c r="AE128" s="15"/>
    </row>
    <row r="129" spans="1:31" s="15" customFormat="1" x14ac:dyDescent="0.25">
      <c r="A129" s="15"/>
      <c r="B129" s="16">
        <v>2</v>
      </c>
      <c r="C129" s="15"/>
      <c r="D129" s="17"/>
      <c r="E129" s="17"/>
      <c r="F129" s="17"/>
      <c r="G129" s="15"/>
      <c r="H129" s="15" t="s">
        <v>281</v>
      </c>
      <c r="I129" s="15"/>
      <c r="J129" s="15"/>
      <c r="K129" s="15"/>
      <c r="L129" s="15" t="s">
        <v>282</v>
      </c>
      <c r="M129" s="16">
        <f t="shared" si="7"/>
        <v>27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 t="s">
        <v>35</v>
      </c>
      <c r="AE129" s="15"/>
    </row>
    <row r="130" spans="1:31" s="18" customFormat="1" x14ac:dyDescent="0.25">
      <c r="A130" s="18"/>
      <c r="B130" s="19">
        <v>3</v>
      </c>
      <c r="C130" s="18"/>
      <c r="D130" s="20"/>
      <c r="E130" s="20"/>
      <c r="F130" s="20"/>
      <c r="G130" s="18"/>
      <c r="H130" s="18"/>
      <c r="I130" s="18" t="s">
        <v>283</v>
      </c>
      <c r="J130" s="18"/>
      <c r="K130" s="18"/>
      <c r="L130" s="18" t="s">
        <v>284</v>
      </c>
      <c r="M130" s="19">
        <f t="shared" si="7"/>
        <v>37</v>
      </c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 t="s">
        <v>35</v>
      </c>
      <c r="AE130" s="18"/>
    </row>
    <row r="131" spans="1:31" s="15" customFormat="1" x14ac:dyDescent="0.25">
      <c r="A131" s="15"/>
      <c r="B131" s="16">
        <v>2</v>
      </c>
      <c r="C131" s="15"/>
      <c r="D131" s="17"/>
      <c r="E131" s="17"/>
      <c r="F131" s="17"/>
      <c r="G131" s="15"/>
      <c r="H131" s="15" t="s">
        <v>83</v>
      </c>
      <c r="I131" s="15"/>
      <c r="J131" s="15"/>
      <c r="K131" s="15"/>
      <c r="L131" s="15" t="s">
        <v>285</v>
      </c>
      <c r="M131" s="16">
        <f t="shared" si="7"/>
        <v>31</v>
      </c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 t="s">
        <v>35</v>
      </c>
      <c r="AE131" s="15"/>
    </row>
    <row r="132" spans="1:31" s="18" customFormat="1" x14ac:dyDescent="0.25">
      <c r="A132" s="18"/>
      <c r="B132" s="19">
        <v>3</v>
      </c>
      <c r="C132" s="18"/>
      <c r="D132" s="20"/>
      <c r="E132" s="20"/>
      <c r="F132" s="20"/>
      <c r="G132" s="18"/>
      <c r="H132" s="18"/>
      <c r="I132" s="18" t="s">
        <v>286</v>
      </c>
      <c r="J132" s="18"/>
      <c r="K132" s="18"/>
      <c r="L132" s="18" t="s">
        <v>287</v>
      </c>
      <c r="M132" s="19">
        <f t="shared" si="7"/>
        <v>38</v>
      </c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 t="s">
        <v>35</v>
      </c>
      <c r="AE132" s="18"/>
    </row>
    <row r="133" spans="1:31" s="18" customFormat="1" x14ac:dyDescent="0.25">
      <c r="A133" s="18"/>
      <c r="B133" s="19">
        <v>3</v>
      </c>
      <c r="C133" s="18"/>
      <c r="D133" s="20"/>
      <c r="E133" s="20"/>
      <c r="F133" s="20"/>
      <c r="G133" s="18"/>
      <c r="H133" s="18"/>
      <c r="I133" s="18" t="s">
        <v>288</v>
      </c>
      <c r="J133" s="18"/>
      <c r="K133" s="18"/>
      <c r="L133" s="18" t="s">
        <v>289</v>
      </c>
      <c r="M133" s="19">
        <f t="shared" si="7"/>
        <v>41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 t="s">
        <v>35</v>
      </c>
      <c r="AE133" s="18"/>
    </row>
    <row r="134" spans="1:31" s="13" customFormat="1" x14ac:dyDescent="0.25">
      <c r="A134" s="13"/>
      <c r="B134" s="14">
        <v>1</v>
      </c>
      <c r="C134" s="13">
        <v>5001</v>
      </c>
      <c r="D134" s="14" t="s">
        <v>31</v>
      </c>
      <c r="E134" s="14" t="s">
        <v>32</v>
      </c>
      <c r="F134" s="14" t="s">
        <v>34</v>
      </c>
      <c r="G134" s="14" t="s">
        <v>290</v>
      </c>
      <c r="H134" s="14"/>
      <c r="I134" s="14"/>
      <c r="J134" s="13" t="str">
        <f>(C134)&amp;"-"&amp;(D134)&amp;"-"&amp;(E134)&amp;"-"&amp;(F134)&amp;"-"&amp;(G134)</f>
        <v>5001-PM03-BR-BR1-35-24P506</v>
      </c>
      <c r="K134" s="14">
        <f>LEN(J134)</f>
        <v>26</v>
      </c>
      <c r="L134" s="14" t="s">
        <v>291</v>
      </c>
      <c r="M134" s="14">
        <f t="shared" si="7"/>
        <v>23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4" t="s">
        <v>35</v>
      </c>
      <c r="AE134" s="13"/>
    </row>
    <row r="135" spans="1:31" s="15" customFormat="1" x14ac:dyDescent="0.25">
      <c r="A135" s="15"/>
      <c r="B135" s="16">
        <v>2</v>
      </c>
      <c r="C135" s="15"/>
      <c r="D135" s="17"/>
      <c r="E135" s="17"/>
      <c r="F135" s="17"/>
      <c r="G135" s="15"/>
      <c r="H135" s="15" t="s">
        <v>290</v>
      </c>
      <c r="I135" s="15"/>
      <c r="J135" s="15"/>
      <c r="K135" s="15"/>
      <c r="L135" s="15" t="s">
        <v>292</v>
      </c>
      <c r="M135" s="16">
        <f t="shared" si="7"/>
        <v>18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 t="s">
        <v>35</v>
      </c>
      <c r="AE135" s="15"/>
    </row>
    <row r="136" spans="1:31" s="15" customFormat="1" x14ac:dyDescent="0.25">
      <c r="A136" s="15"/>
      <c r="B136" s="16">
        <v>2</v>
      </c>
      <c r="C136" s="15"/>
      <c r="D136" s="17"/>
      <c r="E136" s="17"/>
      <c r="F136" s="17"/>
      <c r="G136" s="15"/>
      <c r="H136" s="15" t="s">
        <v>293</v>
      </c>
      <c r="I136" s="15"/>
      <c r="J136" s="15"/>
      <c r="K136" s="15"/>
      <c r="L136" s="15" t="s">
        <v>294</v>
      </c>
      <c r="M136" s="16">
        <f t="shared" si="7"/>
        <v>29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 t="s">
        <v>35</v>
      </c>
      <c r="AE136" s="15"/>
    </row>
    <row r="137" spans="1:31" s="18" customFormat="1" x14ac:dyDescent="0.25">
      <c r="A137" s="18"/>
      <c r="B137" s="19">
        <v>3</v>
      </c>
      <c r="C137" s="18"/>
      <c r="D137" s="20"/>
      <c r="E137" s="20"/>
      <c r="F137" s="20"/>
      <c r="G137" s="18"/>
      <c r="H137" s="18"/>
      <c r="I137" s="18" t="s">
        <v>295</v>
      </c>
      <c r="J137" s="18"/>
      <c r="K137" s="18"/>
      <c r="L137" s="18" t="s">
        <v>296</v>
      </c>
      <c r="M137" s="19">
        <f t="shared" si="7"/>
        <v>30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 t="s">
        <v>35</v>
      </c>
      <c r="AE137" s="18"/>
    </row>
    <row r="138" spans="1:31" s="15" customFormat="1" x14ac:dyDescent="0.25">
      <c r="A138" s="15"/>
      <c r="B138" s="16">
        <v>2</v>
      </c>
      <c r="C138" s="15"/>
      <c r="D138" s="17"/>
      <c r="E138" s="17"/>
      <c r="F138" s="17"/>
      <c r="G138" s="15"/>
      <c r="H138" s="15" t="s">
        <v>297</v>
      </c>
      <c r="I138" s="15"/>
      <c r="J138" s="15"/>
      <c r="K138" s="15"/>
      <c r="L138" s="15" t="s">
        <v>298</v>
      </c>
      <c r="M138" s="16">
        <f t="shared" si="7"/>
        <v>26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 t="s">
        <v>35</v>
      </c>
      <c r="AE138" s="15"/>
    </row>
    <row r="139" spans="1:31" s="18" customFormat="1" x14ac:dyDescent="0.25">
      <c r="A139" s="18"/>
      <c r="B139" s="19">
        <v>3</v>
      </c>
      <c r="C139" s="18"/>
      <c r="D139" s="20"/>
      <c r="E139" s="20"/>
      <c r="F139" s="20"/>
      <c r="G139" s="18"/>
      <c r="H139" s="18"/>
      <c r="I139" s="18" t="s">
        <v>299</v>
      </c>
      <c r="J139" s="18"/>
      <c r="K139" s="18"/>
      <c r="L139" s="18" t="s">
        <v>300</v>
      </c>
      <c r="M139" s="19">
        <f t="shared" si="7"/>
        <v>43</v>
      </c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 t="s">
        <v>35</v>
      </c>
      <c r="AE139" s="18"/>
    </row>
    <row r="140" spans="1:31" s="18" customFormat="1" x14ac:dyDescent="0.25">
      <c r="A140" s="18"/>
      <c r="B140" s="19">
        <v>3</v>
      </c>
      <c r="C140" s="18"/>
      <c r="D140" s="20"/>
      <c r="E140" s="20"/>
      <c r="F140" s="20"/>
      <c r="G140" s="18"/>
      <c r="H140" s="18"/>
      <c r="I140" s="18" t="s">
        <v>301</v>
      </c>
      <c r="J140" s="18"/>
      <c r="K140" s="18"/>
      <c r="L140" s="18" t="s">
        <v>302</v>
      </c>
      <c r="M140" s="19">
        <f t="shared" si="7"/>
        <v>42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 t="s">
        <v>35</v>
      </c>
      <c r="AE140" s="18"/>
    </row>
    <row r="141" spans="1:31" s="18" customFormat="1" x14ac:dyDescent="0.25">
      <c r="A141" s="18"/>
      <c r="B141" s="19">
        <v>3</v>
      </c>
      <c r="C141" s="18"/>
      <c r="D141" s="20"/>
      <c r="E141" s="20"/>
      <c r="F141" s="20"/>
      <c r="G141" s="18"/>
      <c r="H141" s="18"/>
      <c r="I141" s="18" t="s">
        <v>303</v>
      </c>
      <c r="J141" s="18"/>
      <c r="K141" s="18"/>
      <c r="L141" s="18" t="s">
        <v>304</v>
      </c>
      <c r="M141" s="19">
        <f t="shared" si="7"/>
        <v>40</v>
      </c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 t="s">
        <v>35</v>
      </c>
      <c r="AE141" s="18"/>
    </row>
    <row r="142" spans="1:31" s="18" customFormat="1" x14ac:dyDescent="0.25">
      <c r="A142" s="18"/>
      <c r="B142" s="19">
        <v>3</v>
      </c>
      <c r="C142" s="18"/>
      <c r="D142" s="20"/>
      <c r="E142" s="20"/>
      <c r="F142" s="20"/>
      <c r="G142" s="18"/>
      <c r="H142" s="18"/>
      <c r="I142" s="18" t="s">
        <v>305</v>
      </c>
      <c r="J142" s="18"/>
      <c r="K142" s="18"/>
      <c r="L142" s="18" t="s">
        <v>306</v>
      </c>
      <c r="M142" s="19">
        <f t="shared" si="7"/>
        <v>35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 t="s">
        <v>35</v>
      </c>
      <c r="AE142" s="18"/>
    </row>
    <row r="143" spans="1:31" s="18" customFormat="1" x14ac:dyDescent="0.25">
      <c r="A143" s="18"/>
      <c r="B143" s="19">
        <v>3</v>
      </c>
      <c r="C143" s="18"/>
      <c r="D143" s="20"/>
      <c r="E143" s="20"/>
      <c r="F143" s="20"/>
      <c r="G143" s="18"/>
      <c r="H143" s="18"/>
      <c r="I143" s="18" t="s">
        <v>307</v>
      </c>
      <c r="J143" s="18"/>
      <c r="K143" s="18"/>
      <c r="L143" s="18" t="s">
        <v>308</v>
      </c>
      <c r="M143" s="19">
        <f t="shared" si="7"/>
        <v>43</v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 t="s">
        <v>35</v>
      </c>
      <c r="AE143" s="18"/>
    </row>
    <row r="144" spans="1:31" s="18" customFormat="1" x14ac:dyDescent="0.25">
      <c r="A144" s="18"/>
      <c r="B144" s="19">
        <v>3</v>
      </c>
      <c r="C144" s="18"/>
      <c r="D144" s="20"/>
      <c r="E144" s="20"/>
      <c r="F144" s="20"/>
      <c r="G144" s="18"/>
      <c r="H144" s="18"/>
      <c r="I144" s="18" t="s">
        <v>309</v>
      </c>
      <c r="J144" s="18"/>
      <c r="K144" s="18"/>
      <c r="L144" s="18" t="s">
        <v>310</v>
      </c>
      <c r="M144" s="19">
        <f t="shared" si="7"/>
        <v>45</v>
      </c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 t="s">
        <v>35</v>
      </c>
      <c r="AE144" s="18"/>
    </row>
    <row r="145" spans="1:31" s="18" customFormat="1" x14ac:dyDescent="0.25">
      <c r="A145" s="18"/>
      <c r="B145" s="19">
        <v>3</v>
      </c>
      <c r="C145" s="18"/>
      <c r="D145" s="20"/>
      <c r="E145" s="20"/>
      <c r="F145" s="20"/>
      <c r="G145" s="18"/>
      <c r="H145" s="18"/>
      <c r="I145" s="18" t="s">
        <v>311</v>
      </c>
      <c r="J145" s="18"/>
      <c r="K145" s="18"/>
      <c r="L145" s="18" t="s">
        <v>312</v>
      </c>
      <c r="M145" s="19">
        <f t="shared" si="7"/>
        <v>37</v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 t="s">
        <v>35</v>
      </c>
      <c r="AE145" s="18"/>
    </row>
    <row r="146" spans="1:31" s="15" customFormat="1" x14ac:dyDescent="0.25">
      <c r="A146" s="15"/>
      <c r="B146" s="16">
        <v>2</v>
      </c>
      <c r="C146" s="15"/>
      <c r="D146" s="17"/>
      <c r="E146" s="17"/>
      <c r="F146" s="17"/>
      <c r="G146" s="15"/>
      <c r="H146" s="15" t="s">
        <v>313</v>
      </c>
      <c r="I146" s="15"/>
      <c r="J146" s="15"/>
      <c r="K146" s="15"/>
      <c r="L146" s="15" t="s">
        <v>314</v>
      </c>
      <c r="M146" s="16">
        <f t="shared" si="7"/>
        <v>45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 t="s">
        <v>35</v>
      </c>
      <c r="AE146" s="15"/>
    </row>
    <row r="147" spans="1:31" s="18" customFormat="1" x14ac:dyDescent="0.25">
      <c r="A147" s="18"/>
      <c r="B147" s="19">
        <v>3</v>
      </c>
      <c r="C147" s="18"/>
      <c r="D147" s="20"/>
      <c r="E147" s="20"/>
      <c r="F147" s="20"/>
      <c r="G147" s="18"/>
      <c r="H147" s="18"/>
      <c r="I147" s="18" t="s">
        <v>315</v>
      </c>
      <c r="J147" s="18"/>
      <c r="K147" s="18"/>
      <c r="L147" s="18" t="s">
        <v>316</v>
      </c>
      <c r="M147" s="19">
        <f t="shared" si="7"/>
        <v>37</v>
      </c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 t="s">
        <v>35</v>
      </c>
      <c r="AE147" s="18"/>
    </row>
    <row r="148" ht="120" customHeight="1" spans="1:31" s="18" customFormat="1" x14ac:dyDescent="0.25">
      <c r="A148" s="18"/>
      <c r="B148" s="19">
        <v>3</v>
      </c>
      <c r="C148" s="18"/>
      <c r="D148" s="20"/>
      <c r="E148" s="20"/>
      <c r="F148" s="20"/>
      <c r="G148" s="18"/>
      <c r="H148" s="18"/>
      <c r="I148" s="18" t="s">
        <v>317</v>
      </c>
      <c r="J148" s="18"/>
      <c r="K148" s="18"/>
      <c r="L148" s="26" t="s">
        <v>318</v>
      </c>
      <c r="M148" s="19">
        <f t="shared" si="7"/>
        <v>55</v>
      </c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 t="s">
        <v>35</v>
      </c>
      <c r="AE148" s="18"/>
    </row>
    <row r="149" spans="1:31" s="15" customFormat="1" x14ac:dyDescent="0.25">
      <c r="A149" s="15"/>
      <c r="B149" s="16">
        <v>2</v>
      </c>
      <c r="C149" s="15"/>
      <c r="D149" s="17"/>
      <c r="E149" s="17"/>
      <c r="F149" s="17"/>
      <c r="G149" s="15"/>
      <c r="H149" s="15" t="s">
        <v>319</v>
      </c>
      <c r="I149" s="15"/>
      <c r="J149" s="15"/>
      <c r="K149" s="15"/>
      <c r="L149" s="15" t="s">
        <v>320</v>
      </c>
      <c r="M149" s="16">
        <f t="shared" si="7"/>
        <v>27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 t="s">
        <v>35</v>
      </c>
      <c r="AE149" s="15"/>
    </row>
    <row r="150" spans="1:31" s="13" customFormat="1" x14ac:dyDescent="0.25">
      <c r="A150" s="13"/>
      <c r="B150" s="14">
        <v>1</v>
      </c>
      <c r="C150" s="13">
        <v>5001</v>
      </c>
      <c r="D150" s="14" t="s">
        <v>31</v>
      </c>
      <c r="E150" s="14" t="s">
        <v>32</v>
      </c>
      <c r="F150" s="14" t="s">
        <v>34</v>
      </c>
      <c r="G150" s="14" t="s">
        <v>321</v>
      </c>
      <c r="H150" s="14"/>
      <c r="I150" s="14"/>
      <c r="J150" s="13" t="str">
        <f>(C150)&amp;"-"&amp;(D150)&amp;"-"&amp;(E150)&amp;"-"&amp;(F150)&amp;"-"&amp;(G150)</f>
        <v>5001-PM03-BR-BR1-35-24P507</v>
      </c>
      <c r="K150" s="14">
        <f>LEN(J150)</f>
        <v>26</v>
      </c>
      <c r="L150" s="14" t="s">
        <v>322</v>
      </c>
      <c r="M150" s="14">
        <f t="shared" si="7"/>
        <v>27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4" t="s">
        <v>35</v>
      </c>
      <c r="AE150" s="13"/>
    </row>
    <row r="151" spans="1:31" s="15" customFormat="1" x14ac:dyDescent="0.25">
      <c r="A151" s="15"/>
      <c r="B151" s="16">
        <v>2</v>
      </c>
      <c r="C151" s="15"/>
      <c r="D151" s="17"/>
      <c r="E151" s="17"/>
      <c r="F151" s="17"/>
      <c r="G151" s="15"/>
      <c r="H151" s="15" t="s">
        <v>321</v>
      </c>
      <c r="I151" s="15"/>
      <c r="J151" s="15"/>
      <c r="K151" s="15"/>
      <c r="L151" s="15" t="s">
        <v>323</v>
      </c>
      <c r="M151" s="16">
        <f t="shared" si="7"/>
        <v>18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 t="s">
        <v>35</v>
      </c>
      <c r="AE151" s="15"/>
    </row>
    <row r="152" spans="1:31" s="15" customFormat="1" x14ac:dyDescent="0.25">
      <c r="A152" s="15"/>
      <c r="B152" s="16">
        <v>2</v>
      </c>
      <c r="C152" s="15"/>
      <c r="D152" s="17"/>
      <c r="E152" s="17"/>
      <c r="F152" s="17"/>
      <c r="G152" s="15"/>
      <c r="H152" s="15" t="s">
        <v>324</v>
      </c>
      <c r="I152" s="15"/>
      <c r="J152" s="15"/>
      <c r="K152" s="15"/>
      <c r="L152" s="15" t="s">
        <v>325</v>
      </c>
      <c r="M152" s="16">
        <f t="shared" si="7"/>
        <v>33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 t="s">
        <v>35</v>
      </c>
      <c r="AE152" s="15"/>
    </row>
    <row r="153" spans="1:31" s="15" customFormat="1" x14ac:dyDescent="0.25">
      <c r="A153" s="15"/>
      <c r="B153" s="16">
        <v>2</v>
      </c>
      <c r="C153" s="15"/>
      <c r="D153" s="17"/>
      <c r="E153" s="17"/>
      <c r="F153" s="17"/>
      <c r="G153" s="15"/>
      <c r="H153" s="15" t="s">
        <v>326</v>
      </c>
      <c r="I153" s="15"/>
      <c r="J153" s="15"/>
      <c r="K153" s="15"/>
      <c r="L153" s="15" t="s">
        <v>327</v>
      </c>
      <c r="M153" s="16">
        <f t="shared" si="7"/>
        <v>26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 t="s">
        <v>35</v>
      </c>
      <c r="AE153" s="15"/>
    </row>
    <row r="154" spans="1:31" s="18" customFormat="1" x14ac:dyDescent="0.25">
      <c r="A154" s="18"/>
      <c r="B154" s="19">
        <v>3</v>
      </c>
      <c r="C154" s="18"/>
      <c r="D154" s="20"/>
      <c r="E154" s="20"/>
      <c r="F154" s="20"/>
      <c r="G154" s="18"/>
      <c r="H154" s="18"/>
      <c r="I154" s="18" t="s">
        <v>328</v>
      </c>
      <c r="J154" s="18"/>
      <c r="K154" s="18"/>
      <c r="L154" s="18" t="s">
        <v>329</v>
      </c>
      <c r="M154" s="19">
        <f t="shared" si="7"/>
        <v>34</v>
      </c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 t="s">
        <v>35</v>
      </c>
      <c r="AE154" s="18"/>
    </row>
    <row r="155" spans="1:31" s="18" customFormat="1" x14ac:dyDescent="0.25">
      <c r="A155" s="18"/>
      <c r="B155" s="19">
        <v>3</v>
      </c>
      <c r="C155" s="18"/>
      <c r="D155" s="20"/>
      <c r="E155" s="20"/>
      <c r="F155" s="20"/>
      <c r="G155" s="18"/>
      <c r="H155" s="18"/>
      <c r="I155" s="18" t="s">
        <v>330</v>
      </c>
      <c r="J155" s="18"/>
      <c r="K155" s="18"/>
      <c r="L155" s="18" t="s">
        <v>331</v>
      </c>
      <c r="M155" s="19">
        <f t="shared" si="7"/>
        <v>30</v>
      </c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 t="s">
        <v>35</v>
      </c>
      <c r="AE155" s="18"/>
    </row>
    <row r="156" spans="1:31" s="15" customFormat="1" x14ac:dyDescent="0.25">
      <c r="A156" s="15"/>
      <c r="B156" s="16">
        <v>2</v>
      </c>
      <c r="C156" s="15"/>
      <c r="D156" s="17"/>
      <c r="E156" s="17"/>
      <c r="F156" s="17"/>
      <c r="G156" s="15"/>
      <c r="H156" s="15" t="s">
        <v>332</v>
      </c>
      <c r="I156" s="15"/>
      <c r="J156" s="15"/>
      <c r="K156" s="15"/>
      <c r="L156" s="15" t="s">
        <v>333</v>
      </c>
      <c r="M156" s="16">
        <f t="shared" si="7"/>
        <v>27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 t="s">
        <v>35</v>
      </c>
      <c r="AE156" s="15"/>
    </row>
    <row r="157" spans="1:31" s="27" customFormat="1" x14ac:dyDescent="0.25">
      <c r="A157" s="27"/>
      <c r="B157" s="28">
        <v>3</v>
      </c>
      <c r="C157" s="27"/>
      <c r="D157" s="29"/>
      <c r="E157" s="29"/>
      <c r="F157" s="29"/>
      <c r="G157" s="27"/>
      <c r="H157" s="27"/>
      <c r="I157" s="27" t="s">
        <v>334</v>
      </c>
      <c r="J157" s="27"/>
      <c r="K157" s="27"/>
      <c r="L157" s="27" t="s">
        <v>335</v>
      </c>
      <c r="M157" s="28">
        <f t="shared" si="7"/>
        <v>31</v>
      </c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 t="s">
        <v>35</v>
      </c>
      <c r="AE157" s="27"/>
    </row>
    <row r="158" spans="1:31" s="18" customFormat="1" x14ac:dyDescent="0.25">
      <c r="A158" s="18"/>
      <c r="B158" s="19">
        <v>3</v>
      </c>
      <c r="C158" s="18"/>
      <c r="D158" s="20"/>
      <c r="E158" s="20"/>
      <c r="F158" s="20"/>
      <c r="G158" s="18"/>
      <c r="H158" s="18"/>
      <c r="I158" s="18" t="s">
        <v>336</v>
      </c>
      <c r="J158" s="18"/>
      <c r="K158" s="18"/>
      <c r="L158" s="18" t="s">
        <v>337</v>
      </c>
      <c r="M158" s="19">
        <f t="shared" si="7"/>
        <v>38</v>
      </c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 t="s">
        <v>35</v>
      </c>
      <c r="AE158" s="18"/>
    </row>
    <row r="159" spans="1:31" s="13" customFormat="1" x14ac:dyDescent="0.25">
      <c r="A159" s="13"/>
      <c r="B159" s="14">
        <v>1</v>
      </c>
      <c r="C159" s="13">
        <v>5001</v>
      </c>
      <c r="D159" s="14" t="s">
        <v>31</v>
      </c>
      <c r="E159" s="14" t="s">
        <v>32</v>
      </c>
      <c r="F159" s="14" t="s">
        <v>34</v>
      </c>
      <c r="G159" s="14" t="s">
        <v>338</v>
      </c>
      <c r="H159" s="14"/>
      <c r="I159" s="14"/>
      <c r="J159" s="13" t="str">
        <f>(C159)&amp;"-"&amp;(D159)&amp;"-"&amp;(E159)&amp;"-"&amp;(F159)&amp;"-"&amp;(G159)</f>
        <v>5001-PM03-BR-BR1-35-24P520</v>
      </c>
      <c r="K159" s="14">
        <f>LEN(J159)</f>
        <v>26</v>
      </c>
      <c r="L159" s="14" t="s">
        <v>339</v>
      </c>
      <c r="M159" s="14">
        <f t="shared" si="7"/>
        <v>30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4" t="s">
        <v>35</v>
      </c>
      <c r="AE159" s="13"/>
    </row>
    <row r="160" spans="1:31" s="15" customFormat="1" x14ac:dyDescent="0.25">
      <c r="A160" s="15"/>
      <c r="B160" s="16">
        <v>2</v>
      </c>
      <c r="C160" s="15"/>
      <c r="D160" s="17"/>
      <c r="E160" s="17"/>
      <c r="F160" s="17"/>
      <c r="G160" s="15"/>
      <c r="H160" s="15" t="s">
        <v>338</v>
      </c>
      <c r="I160" s="15"/>
      <c r="J160" s="15"/>
      <c r="K160" s="15"/>
      <c r="L160" s="15" t="s">
        <v>340</v>
      </c>
      <c r="M160" s="16">
        <f t="shared" si="7"/>
        <v>18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 t="s">
        <v>35</v>
      </c>
      <c r="AE160" s="15"/>
    </row>
    <row r="161" spans="1:31" s="15" customFormat="1" x14ac:dyDescent="0.25">
      <c r="A161" s="15"/>
      <c r="B161" s="16">
        <v>2</v>
      </c>
      <c r="C161" s="15"/>
      <c r="D161" s="17"/>
      <c r="E161" s="17"/>
      <c r="F161" s="17"/>
      <c r="G161" s="15"/>
      <c r="H161" s="15" t="s">
        <v>341</v>
      </c>
      <c r="I161" s="15"/>
      <c r="J161" s="15"/>
      <c r="K161" s="15"/>
      <c r="L161" s="15" t="s">
        <v>342</v>
      </c>
      <c r="M161" s="16">
        <f t="shared" si="7"/>
        <v>25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 t="s">
        <v>35</v>
      </c>
      <c r="AE161" s="15"/>
    </row>
    <row r="162" spans="1:31" s="15" customFormat="1" x14ac:dyDescent="0.25">
      <c r="A162" s="15"/>
      <c r="B162" s="16">
        <v>2</v>
      </c>
      <c r="C162" s="15"/>
      <c r="D162" s="17"/>
      <c r="E162" s="17"/>
      <c r="F162" s="17"/>
      <c r="G162" s="15"/>
      <c r="H162" s="15" t="s">
        <v>343</v>
      </c>
      <c r="I162" s="15"/>
      <c r="J162" s="15"/>
      <c r="K162" s="15"/>
      <c r="L162" s="15" t="s">
        <v>344</v>
      </c>
      <c r="M162" s="16">
        <f t="shared" si="7"/>
        <v>26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 t="s">
        <v>35</v>
      </c>
      <c r="AE162" s="15"/>
    </row>
    <row r="163" spans="1:31" s="18" customFormat="1" x14ac:dyDescent="0.25">
      <c r="A163" s="18"/>
      <c r="B163" s="19">
        <v>3</v>
      </c>
      <c r="C163" s="18"/>
      <c r="D163" s="20"/>
      <c r="E163" s="20"/>
      <c r="F163" s="20"/>
      <c r="G163" s="18"/>
      <c r="H163" s="18"/>
      <c r="I163" s="18" t="s">
        <v>345</v>
      </c>
      <c r="J163" s="18"/>
      <c r="K163" s="18"/>
      <c r="L163" s="18" t="s">
        <v>346</v>
      </c>
      <c r="M163" s="19">
        <f t="shared" si="7"/>
        <v>43</v>
      </c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 t="s">
        <v>35</v>
      </c>
      <c r="AE163" s="18"/>
    </row>
    <row r="164" spans="1:31" s="18" customFormat="1" x14ac:dyDescent="0.25">
      <c r="A164" s="18"/>
      <c r="B164" s="19">
        <v>3</v>
      </c>
      <c r="C164" s="18"/>
      <c r="D164" s="20"/>
      <c r="E164" s="20"/>
      <c r="F164" s="20"/>
      <c r="G164" s="18"/>
      <c r="H164" s="18"/>
      <c r="I164" s="18" t="s">
        <v>347</v>
      </c>
      <c r="J164" s="18"/>
      <c r="K164" s="18"/>
      <c r="L164" s="18" t="s">
        <v>348</v>
      </c>
      <c r="M164" s="19">
        <f t="shared" si="7"/>
        <v>47</v>
      </c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 t="s">
        <v>35</v>
      </c>
      <c r="AE164" s="18"/>
    </row>
    <row r="165" spans="1:31" s="18" customFormat="1" x14ac:dyDescent="0.25">
      <c r="A165" s="18"/>
      <c r="B165" s="19">
        <v>3</v>
      </c>
      <c r="C165" s="18"/>
      <c r="D165" s="20"/>
      <c r="E165" s="20"/>
      <c r="F165" s="20"/>
      <c r="G165" s="18"/>
      <c r="H165" s="18"/>
      <c r="I165" s="18" t="s">
        <v>349</v>
      </c>
      <c r="J165" s="18"/>
      <c r="K165" s="18"/>
      <c r="L165" s="18" t="s">
        <v>350</v>
      </c>
      <c r="M165" s="19">
        <f t="shared" si="7"/>
        <v>33</v>
      </c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 t="s">
        <v>35</v>
      </c>
      <c r="AE165" s="18"/>
    </row>
    <row r="166" spans="1:31" s="18" customFormat="1" x14ac:dyDescent="0.25">
      <c r="A166" s="18"/>
      <c r="B166" s="19">
        <v>3</v>
      </c>
      <c r="C166" s="18"/>
      <c r="D166" s="20"/>
      <c r="E166" s="20"/>
      <c r="F166" s="20"/>
      <c r="G166" s="18"/>
      <c r="H166" s="18"/>
      <c r="I166" s="18" t="s">
        <v>351</v>
      </c>
      <c r="J166" s="18"/>
      <c r="K166" s="18"/>
      <c r="L166" s="18" t="s">
        <v>352</v>
      </c>
      <c r="M166" s="19">
        <f t="shared" ref="M166:M263" si="13">LEN(L166)</f>
        <v>33</v>
      </c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 t="s">
        <v>35</v>
      </c>
      <c r="AE166" s="18"/>
    </row>
    <row r="167" spans="1:31" s="15" customFormat="1" x14ac:dyDescent="0.25">
      <c r="A167" s="15"/>
      <c r="B167" s="16">
        <v>2</v>
      </c>
      <c r="C167" s="15"/>
      <c r="D167" s="17"/>
      <c r="E167" s="17"/>
      <c r="F167" s="17"/>
      <c r="G167" s="15"/>
      <c r="H167" s="15" t="s">
        <v>353</v>
      </c>
      <c r="I167" s="15"/>
      <c r="J167" s="15"/>
      <c r="K167" s="15"/>
      <c r="L167" s="15" t="s">
        <v>354</v>
      </c>
      <c r="M167" s="19">
        <f t="shared" si="13"/>
        <v>43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 t="s">
        <v>35</v>
      </c>
      <c r="AE167" s="15"/>
    </row>
    <row r="168" spans="1:31" s="13" customFormat="1" x14ac:dyDescent="0.25">
      <c r="A168" s="13"/>
      <c r="B168" s="14">
        <v>1</v>
      </c>
      <c r="C168" s="13">
        <v>5001</v>
      </c>
      <c r="D168" s="14" t="s">
        <v>31</v>
      </c>
      <c r="E168" s="14" t="s">
        <v>32</v>
      </c>
      <c r="F168" s="14" t="s">
        <v>34</v>
      </c>
      <c r="G168" s="14" t="s">
        <v>355</v>
      </c>
      <c r="H168" s="14"/>
      <c r="I168" s="14"/>
      <c r="J168" s="13" t="str">
        <f t="shared" ref="J168:J182" si="14">(C168)&amp;"-"&amp;(D168)&amp;"-"&amp;(E168)&amp;"-"&amp;(F168)&amp;"-"&amp;(G168)</f>
        <v>5001-PM03-BR-BR1-35-24XS-541</v>
      </c>
      <c r="K168" s="14">
        <f t="shared" ref="K168:K182" si="15">LEN(J168)</f>
        <v>28</v>
      </c>
      <c r="L168" s="14" t="s">
        <v>356</v>
      </c>
      <c r="M168" s="14">
        <f t="shared" si="13"/>
        <v>35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4" t="s">
        <v>35</v>
      </c>
      <c r="AE168" s="13"/>
    </row>
    <row r="169" spans="1:31" s="13" customFormat="1" x14ac:dyDescent="0.25">
      <c r="A169" s="13"/>
      <c r="B169" s="14">
        <v>1</v>
      </c>
      <c r="C169" s="13">
        <v>5001</v>
      </c>
      <c r="D169" s="14" t="s">
        <v>31</v>
      </c>
      <c r="E169" s="14" t="s">
        <v>32</v>
      </c>
      <c r="F169" s="14" t="s">
        <v>34</v>
      </c>
      <c r="G169" s="14" t="s">
        <v>357</v>
      </c>
      <c r="H169" s="14"/>
      <c r="I169" s="14"/>
      <c r="J169" s="13" t="str">
        <f t="shared" si="14"/>
        <v>5001-PM03-BR-BR1-35-24KJ-543</v>
      </c>
      <c r="K169" s="14">
        <f t="shared" si="15"/>
        <v>28</v>
      </c>
      <c r="L169" s="14" t="s">
        <v>358</v>
      </c>
      <c r="M169" s="14">
        <f t="shared" si="13"/>
        <v>30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4" t="s">
        <v>35</v>
      </c>
      <c r="AE169" s="13"/>
    </row>
    <row r="170" spans="1:31" s="13" customFormat="1" x14ac:dyDescent="0.25">
      <c r="A170" s="13"/>
      <c r="B170" s="14">
        <v>1</v>
      </c>
      <c r="C170" s="13">
        <v>5001</v>
      </c>
      <c r="D170" s="14" t="s">
        <v>31</v>
      </c>
      <c r="E170" s="14" t="s">
        <v>32</v>
      </c>
      <c r="F170" s="14" t="s">
        <v>34</v>
      </c>
      <c r="G170" s="14" t="s">
        <v>359</v>
      </c>
      <c r="H170" s="14"/>
      <c r="I170" s="14"/>
      <c r="J170" s="13" t="str">
        <f t="shared" si="14"/>
        <v>5001-PM03-BR-BR1-35-24KJ-544</v>
      </c>
      <c r="K170" s="14">
        <f t="shared" si="15"/>
        <v>28</v>
      </c>
      <c r="L170" s="14" t="s">
        <v>360</v>
      </c>
      <c r="M170" s="14">
        <f t="shared" si="13"/>
        <v>28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4" t="s">
        <v>35</v>
      </c>
      <c r="AE170" s="13"/>
    </row>
    <row r="171" spans="1:31" s="13" customFormat="1" x14ac:dyDescent="0.25">
      <c r="A171" s="13"/>
      <c r="B171" s="14">
        <v>1</v>
      </c>
      <c r="C171" s="13">
        <v>5001</v>
      </c>
      <c r="D171" s="14" t="s">
        <v>31</v>
      </c>
      <c r="E171" s="14" t="s">
        <v>32</v>
      </c>
      <c r="F171" s="14" t="s">
        <v>34</v>
      </c>
      <c r="G171" s="14" t="s">
        <v>361</v>
      </c>
      <c r="H171" s="14"/>
      <c r="I171" s="14"/>
      <c r="J171" s="13" t="str">
        <f t="shared" si="14"/>
        <v>5001-PM03-BR-BR1-35-24HS-542</v>
      </c>
      <c r="K171" s="14">
        <f t="shared" si="15"/>
        <v>28</v>
      </c>
      <c r="L171" s="14" t="s">
        <v>362</v>
      </c>
      <c r="M171" s="14">
        <f t="shared" si="13"/>
        <v>34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4" t="s">
        <v>35</v>
      </c>
      <c r="AE171" s="13"/>
    </row>
    <row r="172" spans="1:31" s="13" customFormat="1" x14ac:dyDescent="0.25">
      <c r="A172" s="13"/>
      <c r="B172" s="14">
        <v>1</v>
      </c>
      <c r="C172" s="13">
        <v>5001</v>
      </c>
      <c r="D172" s="14" t="s">
        <v>31</v>
      </c>
      <c r="E172" s="14" t="s">
        <v>32</v>
      </c>
      <c r="F172" s="14" t="s">
        <v>34</v>
      </c>
      <c r="G172" s="14" t="s">
        <v>363</v>
      </c>
      <c r="H172" s="14"/>
      <c r="I172" s="14"/>
      <c r="J172" s="13" t="str">
        <f t="shared" si="14"/>
        <v>5001-PM03-BR-BR1-35-24HS-552</v>
      </c>
      <c r="K172" s="14">
        <f t="shared" si="15"/>
        <v>28</v>
      </c>
      <c r="L172" s="14" t="s">
        <v>364</v>
      </c>
      <c r="M172" s="14">
        <f t="shared" si="13"/>
        <v>38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4" t="s">
        <v>35</v>
      </c>
      <c r="AE172" s="13"/>
    </row>
    <row r="173" spans="1:31" s="13" customFormat="1" x14ac:dyDescent="0.25">
      <c r="A173" s="13"/>
      <c r="B173" s="14">
        <v>1</v>
      </c>
      <c r="C173" s="13">
        <v>5001</v>
      </c>
      <c r="D173" s="14" t="s">
        <v>31</v>
      </c>
      <c r="E173" s="14" t="s">
        <v>32</v>
      </c>
      <c r="F173" s="14" t="s">
        <v>34</v>
      </c>
      <c r="G173" s="14" t="s">
        <v>365</v>
      </c>
      <c r="H173" s="14"/>
      <c r="I173" s="14"/>
      <c r="J173" s="13" t="str">
        <f t="shared" si="14"/>
        <v>5001-PM03-BR-BR1-35-24HI-552</v>
      </c>
      <c r="K173" s="14">
        <f t="shared" si="15"/>
        <v>28</v>
      </c>
      <c r="L173" s="14" t="s">
        <v>366</v>
      </c>
      <c r="M173" s="14">
        <f t="shared" si="13"/>
        <v>38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4" t="s">
        <v>35</v>
      </c>
      <c r="AE173" s="13"/>
    </row>
    <row r="174" spans="1:31" s="13" customFormat="1" x14ac:dyDescent="0.25">
      <c r="A174" s="13"/>
      <c r="B174" s="14">
        <v>1</v>
      </c>
      <c r="C174" s="13">
        <v>5001</v>
      </c>
      <c r="D174" s="14" t="s">
        <v>31</v>
      </c>
      <c r="E174" s="14" t="s">
        <v>32</v>
      </c>
      <c r="F174" s="14" t="s">
        <v>34</v>
      </c>
      <c r="G174" s="14" t="s">
        <v>367</v>
      </c>
      <c r="H174" s="14"/>
      <c r="I174" s="14"/>
      <c r="J174" s="13" t="str">
        <f t="shared" si="14"/>
        <v>5001-PM03-BR-BR1-35-24HS-555</v>
      </c>
      <c r="K174" s="14">
        <f t="shared" si="15"/>
        <v>28</v>
      </c>
      <c r="L174" s="14" t="s">
        <v>368</v>
      </c>
      <c r="M174" s="14">
        <f t="shared" si="13"/>
        <v>33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4" t="s">
        <v>35</v>
      </c>
      <c r="AE174" s="13"/>
    </row>
    <row r="175" spans="1:31" s="13" customFormat="1" x14ac:dyDescent="0.25">
      <c r="A175" s="13"/>
      <c r="B175" s="14">
        <v>1</v>
      </c>
      <c r="C175" s="13">
        <v>5001</v>
      </c>
      <c r="D175" s="14" t="s">
        <v>31</v>
      </c>
      <c r="E175" s="14" t="s">
        <v>32</v>
      </c>
      <c r="F175" s="14" t="s">
        <v>34</v>
      </c>
      <c r="G175" s="14" t="s">
        <v>369</v>
      </c>
      <c r="H175" s="14"/>
      <c r="I175" s="14"/>
      <c r="J175" s="13" t="str">
        <f t="shared" si="14"/>
        <v>5001-PM03-BR-BR1-35-24HI-555</v>
      </c>
      <c r="K175" s="14">
        <f t="shared" si="15"/>
        <v>28</v>
      </c>
      <c r="L175" s="14" t="s">
        <v>370</v>
      </c>
      <c r="M175" s="14">
        <f t="shared" si="13"/>
        <v>33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4" t="s">
        <v>35</v>
      </c>
      <c r="AE175" s="13"/>
    </row>
    <row r="176" spans="1:31" s="13" customFormat="1" x14ac:dyDescent="0.25">
      <c r="A176" s="13"/>
      <c r="B176" s="14">
        <v>1</v>
      </c>
      <c r="C176" s="13">
        <v>5001</v>
      </c>
      <c r="D176" s="14" t="s">
        <v>31</v>
      </c>
      <c r="E176" s="14" t="s">
        <v>32</v>
      </c>
      <c r="F176" s="14" t="s">
        <v>34</v>
      </c>
      <c r="G176" s="14" t="s">
        <v>371</v>
      </c>
      <c r="H176" s="14"/>
      <c r="I176" s="14"/>
      <c r="J176" s="13" t="str">
        <f t="shared" si="14"/>
        <v>5001-PM03-BR-BR1-35-24HS-653</v>
      </c>
      <c r="K176" s="14">
        <f t="shared" si="15"/>
        <v>28</v>
      </c>
      <c r="L176" s="14" t="s">
        <v>372</v>
      </c>
      <c r="M176" s="14">
        <f t="shared" si="13"/>
        <v>33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4" t="s">
        <v>35</v>
      </c>
      <c r="AE176" s="13"/>
    </row>
    <row r="177" spans="1:31" s="13" customFormat="1" x14ac:dyDescent="0.25">
      <c r="A177" s="13"/>
      <c r="B177" s="14">
        <v>1</v>
      </c>
      <c r="C177" s="13">
        <v>5001</v>
      </c>
      <c r="D177" s="14" t="s">
        <v>31</v>
      </c>
      <c r="E177" s="14" t="s">
        <v>32</v>
      </c>
      <c r="F177" s="14" t="s">
        <v>34</v>
      </c>
      <c r="G177" s="14" t="s">
        <v>373</v>
      </c>
      <c r="H177" s="14"/>
      <c r="I177" s="14"/>
      <c r="J177" s="13" t="str">
        <f t="shared" si="14"/>
        <v>5001-PM03-BR-BR1-35-24HI-653</v>
      </c>
      <c r="K177" s="14">
        <f t="shared" si="15"/>
        <v>28</v>
      </c>
      <c r="L177" s="14" t="s">
        <v>374</v>
      </c>
      <c r="M177" s="14">
        <f t="shared" si="13"/>
        <v>33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4" t="s">
        <v>35</v>
      </c>
      <c r="AE177" s="13"/>
    </row>
    <row r="178" spans="1:31" s="13" customFormat="1" x14ac:dyDescent="0.25">
      <c r="A178" s="13"/>
      <c r="B178" s="14">
        <v>1</v>
      </c>
      <c r="C178" s="13">
        <v>5001</v>
      </c>
      <c r="D178" s="14" t="s">
        <v>31</v>
      </c>
      <c r="E178" s="14" t="s">
        <v>32</v>
      </c>
      <c r="F178" s="14" t="s">
        <v>34</v>
      </c>
      <c r="G178" s="14" t="s">
        <v>375</v>
      </c>
      <c r="H178" s="14"/>
      <c r="I178" s="14"/>
      <c r="J178" s="13" t="str">
        <f t="shared" si="14"/>
        <v>5001-PM03-BR-BR1-35-24HS-652</v>
      </c>
      <c r="K178" s="14">
        <f t="shared" si="15"/>
        <v>28</v>
      </c>
      <c r="L178" s="14" t="s">
        <v>376</v>
      </c>
      <c r="M178" s="14">
        <f t="shared" si="13"/>
        <v>33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4" t="s">
        <v>35</v>
      </c>
      <c r="AE178" s="13"/>
    </row>
    <row r="179" spans="1:31" s="13" customFormat="1" x14ac:dyDescent="0.25">
      <c r="A179" s="13"/>
      <c r="B179" s="14">
        <v>1</v>
      </c>
      <c r="C179" s="13">
        <v>5001</v>
      </c>
      <c r="D179" s="14" t="s">
        <v>31</v>
      </c>
      <c r="E179" s="14" t="s">
        <v>32</v>
      </c>
      <c r="F179" s="14" t="s">
        <v>34</v>
      </c>
      <c r="G179" s="14" t="s">
        <v>377</v>
      </c>
      <c r="H179" s="14"/>
      <c r="I179" s="14"/>
      <c r="J179" s="13" t="str">
        <f t="shared" si="14"/>
        <v>5001-PM03-BR-BR1-35-24HI-652</v>
      </c>
      <c r="K179" s="14">
        <f t="shared" si="15"/>
        <v>28</v>
      </c>
      <c r="L179" s="14" t="s">
        <v>378</v>
      </c>
      <c r="M179" s="14">
        <f t="shared" si="13"/>
        <v>33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4" t="s">
        <v>35</v>
      </c>
      <c r="AE179" s="13"/>
    </row>
    <row r="180" spans="1:31" s="13" customFormat="1" x14ac:dyDescent="0.25">
      <c r="A180" s="13"/>
      <c r="B180" s="14">
        <v>1</v>
      </c>
      <c r="C180" s="13">
        <v>5001</v>
      </c>
      <c r="D180" s="14" t="s">
        <v>31</v>
      </c>
      <c r="E180" s="14" t="s">
        <v>32</v>
      </c>
      <c r="F180" s="14" t="s">
        <v>34</v>
      </c>
      <c r="G180" s="14" t="s">
        <v>379</v>
      </c>
      <c r="H180" s="14"/>
      <c r="I180" s="14"/>
      <c r="J180" s="13" t="str">
        <f t="shared" si="14"/>
        <v>5001-PM03-BR-BR1-35-24HS-634</v>
      </c>
      <c r="K180" s="14">
        <f t="shared" si="15"/>
        <v>28</v>
      </c>
      <c r="L180" s="14" t="s">
        <v>380</v>
      </c>
      <c r="M180" s="14">
        <f t="shared" si="13"/>
        <v>33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4" t="s">
        <v>35</v>
      </c>
      <c r="AE180" s="13"/>
    </row>
    <row r="181" spans="1:31" s="13" customFormat="1" x14ac:dyDescent="0.25">
      <c r="A181" s="13"/>
      <c r="B181" s="14">
        <v>1</v>
      </c>
      <c r="C181" s="13">
        <v>5001</v>
      </c>
      <c r="D181" s="14" t="s">
        <v>31</v>
      </c>
      <c r="E181" s="14" t="s">
        <v>32</v>
      </c>
      <c r="F181" s="14" t="s">
        <v>34</v>
      </c>
      <c r="G181" s="14" t="s">
        <v>381</v>
      </c>
      <c r="H181" s="14"/>
      <c r="I181" s="14"/>
      <c r="J181" s="13" t="str">
        <f t="shared" si="14"/>
        <v>5001-PM03-BR-BR1-35-24HI-634</v>
      </c>
      <c r="K181" s="14">
        <f t="shared" si="15"/>
        <v>28</v>
      </c>
      <c r="L181" s="14" t="s">
        <v>382</v>
      </c>
      <c r="M181" s="14">
        <f t="shared" si="13"/>
        <v>33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4" t="s">
        <v>35</v>
      </c>
      <c r="AE181" s="13"/>
    </row>
    <row r="182" spans="1:31" s="13" customFormat="1" x14ac:dyDescent="0.25">
      <c r="A182" s="13"/>
      <c r="B182" s="14">
        <v>1</v>
      </c>
      <c r="C182" s="13">
        <v>5001</v>
      </c>
      <c r="D182" s="14" t="s">
        <v>31</v>
      </c>
      <c r="E182" s="14" t="s">
        <v>32</v>
      </c>
      <c r="F182" s="14" t="s">
        <v>34</v>
      </c>
      <c r="G182" s="14" t="s">
        <v>383</v>
      </c>
      <c r="H182" s="14"/>
      <c r="I182" s="14"/>
      <c r="J182" s="13" t="str">
        <f t="shared" si="14"/>
        <v>5001-PM03-BR-BR1-35-24L004</v>
      </c>
      <c r="K182" s="14">
        <f t="shared" si="15"/>
        <v>26</v>
      </c>
      <c r="L182" s="14" t="s">
        <v>384</v>
      </c>
      <c r="M182" s="14">
        <f t="shared" si="13"/>
        <v>27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4" t="s">
        <v>35</v>
      </c>
      <c r="AE182" s="13"/>
    </row>
    <row r="183" spans="1:31" s="15" customFormat="1" x14ac:dyDescent="0.25">
      <c r="A183" s="15"/>
      <c r="B183" s="16">
        <v>2</v>
      </c>
      <c r="C183" s="15"/>
      <c r="D183" s="17"/>
      <c r="E183" s="17"/>
      <c r="F183" s="17"/>
      <c r="G183" s="15"/>
      <c r="H183" s="15" t="s">
        <v>385</v>
      </c>
      <c r="I183" s="15"/>
      <c r="J183" s="15"/>
      <c r="K183" s="15"/>
      <c r="L183" s="15" t="s">
        <v>386</v>
      </c>
      <c r="M183" s="16">
        <f t="shared" si="13"/>
        <v>32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 t="s">
        <v>35</v>
      </c>
      <c r="AE183" s="15"/>
    </row>
    <row r="184" spans="1:31" s="13" customFormat="1" x14ac:dyDescent="0.25">
      <c r="A184" s="13"/>
      <c r="B184" s="14">
        <v>1</v>
      </c>
      <c r="C184" s="13">
        <v>5001</v>
      </c>
      <c r="D184" s="14" t="s">
        <v>31</v>
      </c>
      <c r="E184" s="14" t="s">
        <v>32</v>
      </c>
      <c r="F184" s="14" t="s">
        <v>34</v>
      </c>
      <c r="G184" s="14" t="s">
        <v>387</v>
      </c>
      <c r="H184" s="14"/>
      <c r="I184" s="14"/>
      <c r="J184" s="13" t="str">
        <f>(C184)&amp;"-"&amp;(D184)&amp;"-"&amp;(E184)&amp;"-"&amp;(F184)&amp;"-"&amp;(G184)</f>
        <v>5001-PM03-BR-BR1-35-24L003</v>
      </c>
      <c r="K184" s="14">
        <f>LEN(J184)</f>
        <v>26</v>
      </c>
      <c r="L184" s="14" t="s">
        <v>388</v>
      </c>
      <c r="M184" s="14">
        <f t="shared" si="13"/>
        <v>26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4" t="s">
        <v>35</v>
      </c>
      <c r="AE184" s="13"/>
    </row>
    <row r="185" spans="1:31" s="15" customFormat="1" x14ac:dyDescent="0.25">
      <c r="A185" s="15"/>
      <c r="B185" s="16">
        <v>2</v>
      </c>
      <c r="C185" s="15"/>
      <c r="D185" s="17"/>
      <c r="E185" s="17"/>
      <c r="F185" s="17"/>
      <c r="G185" s="15"/>
      <c r="H185" s="15" t="s">
        <v>389</v>
      </c>
      <c r="I185" s="15"/>
      <c r="J185" s="15"/>
      <c r="K185" s="15"/>
      <c r="L185" s="15" t="s">
        <v>390</v>
      </c>
      <c r="M185" s="16">
        <f t="shared" si="13"/>
        <v>37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 t="s">
        <v>35</v>
      </c>
      <c r="AE185" s="15"/>
    </row>
    <row r="186" spans="1:31" s="15" customFormat="1" x14ac:dyDescent="0.25">
      <c r="A186" s="15"/>
      <c r="B186" s="16">
        <v>2</v>
      </c>
      <c r="C186" s="15"/>
      <c r="D186" s="17"/>
      <c r="E186" s="17"/>
      <c r="F186" s="17"/>
      <c r="G186" s="15"/>
      <c r="H186" s="15" t="s">
        <v>391</v>
      </c>
      <c r="I186" s="15"/>
      <c r="J186" s="15"/>
      <c r="K186" s="15"/>
      <c r="L186" s="15" t="s">
        <v>392</v>
      </c>
      <c r="M186" s="16">
        <f t="shared" si="13"/>
        <v>37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 t="s">
        <v>35</v>
      </c>
      <c r="AE186" s="15"/>
    </row>
    <row r="187" spans="1:31" s="15" customFormat="1" x14ac:dyDescent="0.25">
      <c r="A187" s="15"/>
      <c r="B187" s="16">
        <v>2</v>
      </c>
      <c r="C187" s="15"/>
      <c r="D187" s="17"/>
      <c r="E187" s="17"/>
      <c r="F187" s="17"/>
      <c r="G187" s="15"/>
      <c r="H187" s="15" t="s">
        <v>393</v>
      </c>
      <c r="I187" s="15"/>
      <c r="J187" s="15"/>
      <c r="K187" s="15"/>
      <c r="L187" s="15" t="s">
        <v>394</v>
      </c>
      <c r="M187" s="16">
        <f t="shared" si="13"/>
        <v>32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 t="s">
        <v>35</v>
      </c>
      <c r="AE187" s="15"/>
    </row>
    <row r="188" spans="1:31" s="18" customFormat="1" x14ac:dyDescent="0.25">
      <c r="A188" s="18"/>
      <c r="B188" s="19">
        <v>3</v>
      </c>
      <c r="C188" s="18"/>
      <c r="D188" s="20"/>
      <c r="E188" s="20"/>
      <c r="F188" s="20"/>
      <c r="G188" s="18"/>
      <c r="H188" s="18"/>
      <c r="I188" s="18" t="s">
        <v>395</v>
      </c>
      <c r="J188" s="18"/>
      <c r="K188" s="18"/>
      <c r="L188" s="18" t="s">
        <v>396</v>
      </c>
      <c r="M188" s="19">
        <f t="shared" si="13"/>
        <v>39</v>
      </c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 t="s">
        <v>35</v>
      </c>
      <c r="AE188" s="18"/>
    </row>
    <row r="189" spans="1:31" s="15" customFormat="1" x14ac:dyDescent="0.25">
      <c r="A189" s="15"/>
      <c r="B189" s="16">
        <v>2</v>
      </c>
      <c r="C189" s="15"/>
      <c r="D189" s="17"/>
      <c r="E189" s="17"/>
      <c r="F189" s="17"/>
      <c r="G189" s="15"/>
      <c r="H189" s="15" t="s">
        <v>397</v>
      </c>
      <c r="I189" s="15"/>
      <c r="J189" s="15"/>
      <c r="K189" s="15"/>
      <c r="L189" s="15" t="s">
        <v>398</v>
      </c>
      <c r="M189" s="16">
        <f t="shared" si="13"/>
        <v>32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 t="s">
        <v>35</v>
      </c>
      <c r="AE189" s="15"/>
    </row>
    <row r="190" spans="1:31" s="18" customFormat="1" x14ac:dyDescent="0.25">
      <c r="A190" s="18"/>
      <c r="B190" s="19">
        <v>3</v>
      </c>
      <c r="C190" s="18"/>
      <c r="D190" s="20"/>
      <c r="E190" s="20"/>
      <c r="F190" s="20"/>
      <c r="G190" s="18"/>
      <c r="H190" s="18"/>
      <c r="I190" s="18" t="s">
        <v>399</v>
      </c>
      <c r="J190" s="18"/>
      <c r="K190" s="18"/>
      <c r="L190" s="18" t="s">
        <v>400</v>
      </c>
      <c r="M190" s="19">
        <f>LEN(L190)</f>
        <v>43</v>
      </c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 t="s">
        <v>35</v>
      </c>
      <c r="AE190" s="18"/>
    </row>
    <row r="191" spans="1:31" s="18" customFormat="1" x14ac:dyDescent="0.25">
      <c r="A191" s="18"/>
      <c r="B191" s="19">
        <v>3</v>
      </c>
      <c r="C191" s="18"/>
      <c r="D191" s="20"/>
      <c r="E191" s="20"/>
      <c r="F191" s="20"/>
      <c r="G191" s="18"/>
      <c r="H191" s="18"/>
      <c r="I191" s="18" t="s">
        <v>401</v>
      </c>
      <c r="J191" s="18"/>
      <c r="K191" s="18"/>
      <c r="L191" s="18" t="s">
        <v>402</v>
      </c>
      <c r="M191" s="19">
        <f>LEN(L191)</f>
        <v>52</v>
      </c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 t="s">
        <v>35</v>
      </c>
      <c r="AE191" s="18"/>
    </row>
    <row r="192" spans="1:31" s="15" customFormat="1" x14ac:dyDescent="0.25">
      <c r="A192" s="15"/>
      <c r="B192" s="16">
        <v>2</v>
      </c>
      <c r="C192" s="15"/>
      <c r="D192" s="17"/>
      <c r="E192" s="17"/>
      <c r="F192" s="17"/>
      <c r="G192" s="15"/>
      <c r="H192" s="15" t="s">
        <v>403</v>
      </c>
      <c r="I192" s="15"/>
      <c r="J192" s="15"/>
      <c r="K192" s="15"/>
      <c r="L192" s="15" t="s">
        <v>404</v>
      </c>
      <c r="M192" s="16">
        <f t="shared" si="13"/>
        <v>35</v>
      </c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 t="s">
        <v>35</v>
      </c>
      <c r="AE192" s="15"/>
    </row>
    <row r="193" spans="1:31" s="15" customFormat="1" x14ac:dyDescent="0.25">
      <c r="A193" s="15"/>
      <c r="B193" s="16">
        <v>2</v>
      </c>
      <c r="C193" s="15"/>
      <c r="D193" s="17"/>
      <c r="E193" s="17"/>
      <c r="F193" s="17"/>
      <c r="G193" s="15"/>
      <c r="H193" s="15" t="s">
        <v>405</v>
      </c>
      <c r="I193" s="15"/>
      <c r="J193" s="15"/>
      <c r="K193" s="15"/>
      <c r="L193" s="15" t="s">
        <v>406</v>
      </c>
      <c r="M193" s="16">
        <f t="shared" si="13"/>
        <v>32</v>
      </c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 t="s">
        <v>35</v>
      </c>
      <c r="AE193" s="15"/>
    </row>
    <row r="194" spans="1:31" s="18" customFormat="1" x14ac:dyDescent="0.25">
      <c r="A194" s="18"/>
      <c r="B194" s="19">
        <v>3</v>
      </c>
      <c r="C194" s="18"/>
      <c r="D194" s="20"/>
      <c r="E194" s="20"/>
      <c r="F194" s="20"/>
      <c r="G194" s="18"/>
      <c r="H194" s="18"/>
      <c r="I194" s="18" t="s">
        <v>407</v>
      </c>
      <c r="J194" s="18"/>
      <c r="K194" s="18"/>
      <c r="L194" s="18" t="s">
        <v>408</v>
      </c>
      <c r="M194" s="19">
        <f>LEN(L194)</f>
        <v>43</v>
      </c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 t="s">
        <v>35</v>
      </c>
      <c r="AE194" s="18"/>
    </row>
    <row r="195" spans="1:31" s="18" customFormat="1" x14ac:dyDescent="0.25">
      <c r="A195" s="18"/>
      <c r="B195" s="19">
        <v>3</v>
      </c>
      <c r="C195" s="18"/>
      <c r="D195" s="20"/>
      <c r="E195" s="20"/>
      <c r="F195" s="20"/>
      <c r="G195" s="18"/>
      <c r="H195" s="18"/>
      <c r="I195" s="18" t="s">
        <v>409</v>
      </c>
      <c r="J195" s="18"/>
      <c r="K195" s="18"/>
      <c r="L195" s="18" t="s">
        <v>410</v>
      </c>
      <c r="M195" s="19">
        <f t="shared" ref="M195" si="16">LEN(L195)</f>
        <v>52</v>
      </c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 t="s">
        <v>35</v>
      </c>
      <c r="AE195" s="18"/>
    </row>
    <row r="196" spans="1:31" s="15" customFormat="1" x14ac:dyDescent="0.25">
      <c r="A196" s="15"/>
      <c r="B196" s="16">
        <v>2</v>
      </c>
      <c r="C196" s="15"/>
      <c r="D196" s="17"/>
      <c r="E196" s="17"/>
      <c r="F196" s="17"/>
      <c r="G196" s="15"/>
      <c r="H196" s="15" t="s">
        <v>411</v>
      </c>
      <c r="I196" s="15"/>
      <c r="J196" s="15"/>
      <c r="K196" s="15"/>
      <c r="L196" s="15" t="s">
        <v>412</v>
      </c>
      <c r="M196" s="16">
        <f t="shared" si="13"/>
        <v>35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 t="s">
        <v>35</v>
      </c>
      <c r="AE196" s="15"/>
    </row>
    <row r="197" spans="1:31" s="15" customFormat="1" x14ac:dyDescent="0.25">
      <c r="A197" s="15"/>
      <c r="B197" s="16">
        <v>2</v>
      </c>
      <c r="C197" s="15"/>
      <c r="D197" s="17"/>
      <c r="E197" s="17"/>
      <c r="F197" s="17"/>
      <c r="G197" s="15"/>
      <c r="H197" s="15" t="s">
        <v>413</v>
      </c>
      <c r="I197" s="15"/>
      <c r="J197" s="15"/>
      <c r="K197" s="15"/>
      <c r="L197" s="15" t="s">
        <v>414</v>
      </c>
      <c r="M197" s="16">
        <f t="shared" si="13"/>
        <v>27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 t="s">
        <v>35</v>
      </c>
      <c r="AE197" s="15"/>
    </row>
    <row r="198" spans="1:31" s="18" customFormat="1" x14ac:dyDescent="0.25">
      <c r="A198" s="18"/>
      <c r="B198" s="19">
        <v>3</v>
      </c>
      <c r="C198" s="18"/>
      <c r="D198" s="20"/>
      <c r="E198" s="20"/>
      <c r="F198" s="20"/>
      <c r="G198" s="18"/>
      <c r="H198" s="18"/>
      <c r="I198" s="18" t="s">
        <v>415</v>
      </c>
      <c r="J198" s="18"/>
      <c r="K198" s="18"/>
      <c r="L198" s="18" t="s">
        <v>416</v>
      </c>
      <c r="M198" s="19">
        <f t="shared" si="13"/>
        <v>34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 t="s">
        <v>35</v>
      </c>
      <c r="AE198" s="18"/>
    </row>
    <row r="199" spans="1:31" s="15" customFormat="1" x14ac:dyDescent="0.25">
      <c r="A199" s="15"/>
      <c r="B199" s="16">
        <v>2</v>
      </c>
      <c r="C199" s="15"/>
      <c r="D199" s="17"/>
      <c r="E199" s="17"/>
      <c r="F199" s="17"/>
      <c r="G199" s="15"/>
      <c r="H199" s="15" t="s">
        <v>61</v>
      </c>
      <c r="I199" s="15"/>
      <c r="J199" s="15"/>
      <c r="K199" s="15"/>
      <c r="L199" s="15" t="s">
        <v>417</v>
      </c>
      <c r="M199" s="16">
        <f t="shared" si="13"/>
        <v>31</v>
      </c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 t="s">
        <v>35</v>
      </c>
      <c r="AE199" s="15"/>
    </row>
    <row r="200" spans="1:31" s="18" customFormat="1" x14ac:dyDescent="0.25">
      <c r="A200" s="18"/>
      <c r="B200" s="19">
        <v>3</v>
      </c>
      <c r="C200" s="18"/>
      <c r="D200" s="20"/>
      <c r="E200" s="20"/>
      <c r="F200" s="20"/>
      <c r="G200" s="18"/>
      <c r="H200" s="18"/>
      <c r="I200" s="18" t="s">
        <v>418</v>
      </c>
      <c r="J200" s="18"/>
      <c r="K200" s="18"/>
      <c r="L200" s="18" t="s">
        <v>419</v>
      </c>
      <c r="M200" s="19">
        <f t="shared" si="13"/>
        <v>40</v>
      </c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 t="s">
        <v>35</v>
      </c>
      <c r="AE200" s="18"/>
    </row>
    <row r="201" spans="1:31" s="18" customFormat="1" x14ac:dyDescent="0.25">
      <c r="A201" s="18"/>
      <c r="B201" s="19">
        <v>3</v>
      </c>
      <c r="C201" s="18"/>
      <c r="D201" s="20"/>
      <c r="E201" s="20"/>
      <c r="F201" s="20"/>
      <c r="G201" s="18"/>
      <c r="H201" s="18"/>
      <c r="I201" s="18" t="s">
        <v>420</v>
      </c>
      <c r="J201" s="18"/>
      <c r="K201" s="18"/>
      <c r="L201" s="18" t="s">
        <v>421</v>
      </c>
      <c r="M201" s="19">
        <f t="shared" si="13"/>
        <v>39</v>
      </c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 t="s">
        <v>35</v>
      </c>
      <c r="AE201" s="18"/>
    </row>
    <row r="202" spans="1:31" s="13" customFormat="1" x14ac:dyDescent="0.25">
      <c r="A202" s="13"/>
      <c r="B202" s="14">
        <v>1</v>
      </c>
      <c r="C202" s="13">
        <v>5001</v>
      </c>
      <c r="D202" s="14" t="s">
        <v>31</v>
      </c>
      <c r="E202" s="14" t="s">
        <v>32</v>
      </c>
      <c r="F202" s="14" t="s">
        <v>34</v>
      </c>
      <c r="G202" s="14" t="s">
        <v>422</v>
      </c>
      <c r="H202" s="14"/>
      <c r="I202" s="14"/>
      <c r="J202" s="13" t="str">
        <f>(C202)&amp;"-"&amp;(D202)&amp;"-"&amp;(E202)&amp;"-"&amp;(F202)&amp;"-"&amp;(G202)</f>
        <v>5001-PM03-BR-BR1-35-24P505</v>
      </c>
      <c r="K202" s="14">
        <f>LEN(J202)</f>
        <v>26</v>
      </c>
      <c r="L202" s="14" t="s">
        <v>423</v>
      </c>
      <c r="M202" s="14">
        <f t="shared" si="13"/>
        <v>29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4" t="s">
        <v>35</v>
      </c>
      <c r="AE202" s="13"/>
    </row>
    <row r="203" spans="1:31" s="15" customFormat="1" x14ac:dyDescent="0.25">
      <c r="A203" s="15"/>
      <c r="B203" s="16">
        <v>2</v>
      </c>
      <c r="C203" s="15"/>
      <c r="D203" s="17"/>
      <c r="E203" s="17"/>
      <c r="F203" s="17"/>
      <c r="G203" s="15"/>
      <c r="H203" s="15" t="s">
        <v>422</v>
      </c>
      <c r="I203" s="15"/>
      <c r="J203" s="15"/>
      <c r="K203" s="15"/>
      <c r="L203" s="15" t="s">
        <v>424</v>
      </c>
      <c r="M203" s="16">
        <f t="shared" si="13"/>
        <v>18</v>
      </c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 t="s">
        <v>35</v>
      </c>
      <c r="AE203" s="15"/>
    </row>
    <row r="204" spans="1:31" s="15" customFormat="1" x14ac:dyDescent="0.25">
      <c r="A204" s="15"/>
      <c r="B204" s="16">
        <v>2</v>
      </c>
      <c r="C204" s="15"/>
      <c r="D204" s="17"/>
      <c r="E204" s="17"/>
      <c r="F204" s="17"/>
      <c r="G204" s="15"/>
      <c r="H204" s="15" t="s">
        <v>425</v>
      </c>
      <c r="I204" s="15"/>
      <c r="J204" s="15"/>
      <c r="K204" s="15"/>
      <c r="L204" s="15" t="s">
        <v>426</v>
      </c>
      <c r="M204" s="16">
        <f t="shared" si="13"/>
        <v>35</v>
      </c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 t="s">
        <v>35</v>
      </c>
      <c r="AE204" s="15"/>
    </row>
    <row r="205" spans="1:31" s="15" customFormat="1" x14ac:dyDescent="0.25">
      <c r="A205" s="15"/>
      <c r="B205" s="16">
        <v>2</v>
      </c>
      <c r="C205" s="15"/>
      <c r="D205" s="17"/>
      <c r="E205" s="17"/>
      <c r="F205" s="17"/>
      <c r="G205" s="15"/>
      <c r="H205" s="15" t="s">
        <v>427</v>
      </c>
      <c r="I205" s="15"/>
      <c r="J205" s="15"/>
      <c r="K205" s="15"/>
      <c r="L205" s="15" t="s">
        <v>428</v>
      </c>
      <c r="M205" s="16">
        <f t="shared" si="13"/>
        <v>26</v>
      </c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 t="s">
        <v>35</v>
      </c>
      <c r="AE205" s="15"/>
    </row>
    <row r="206" spans="1:31" s="18" customFormat="1" x14ac:dyDescent="0.25">
      <c r="A206" s="18"/>
      <c r="B206" s="19">
        <v>3</v>
      </c>
      <c r="C206" s="18"/>
      <c r="D206" s="20"/>
      <c r="E206" s="20"/>
      <c r="F206" s="20"/>
      <c r="G206" s="18"/>
      <c r="H206" s="18"/>
      <c r="I206" s="18" t="s">
        <v>429</v>
      </c>
      <c r="J206" s="18"/>
      <c r="K206" s="18"/>
      <c r="L206" s="18" t="s">
        <v>430</v>
      </c>
      <c r="M206" s="19">
        <f t="shared" si="13"/>
        <v>39</v>
      </c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 t="s">
        <v>35</v>
      </c>
      <c r="AE206" s="18"/>
    </row>
    <row r="207" spans="1:31" s="18" customFormat="1" x14ac:dyDescent="0.25">
      <c r="A207" s="18"/>
      <c r="B207" s="19">
        <v>3</v>
      </c>
      <c r="C207" s="18"/>
      <c r="D207" s="20"/>
      <c r="E207" s="20"/>
      <c r="F207" s="20"/>
      <c r="G207" s="18"/>
      <c r="H207" s="18"/>
      <c r="I207" s="18" t="s">
        <v>431</v>
      </c>
      <c r="J207" s="18"/>
      <c r="K207" s="18"/>
      <c r="L207" s="18" t="s">
        <v>432</v>
      </c>
      <c r="M207" s="19">
        <f t="shared" si="13"/>
        <v>40</v>
      </c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 t="s">
        <v>35</v>
      </c>
      <c r="AE207" s="18"/>
    </row>
    <row r="208" spans="1:31" s="18" customFormat="1" x14ac:dyDescent="0.25">
      <c r="A208" s="18"/>
      <c r="B208" s="19">
        <v>3</v>
      </c>
      <c r="C208" s="18"/>
      <c r="D208" s="20"/>
      <c r="E208" s="20"/>
      <c r="F208" s="20"/>
      <c r="G208" s="18"/>
      <c r="H208" s="18"/>
      <c r="I208" s="18" t="s">
        <v>433</v>
      </c>
      <c r="J208" s="18"/>
      <c r="K208" s="18"/>
      <c r="L208" s="18" t="s">
        <v>434</v>
      </c>
      <c r="M208" s="19">
        <f t="shared" si="13"/>
        <v>38</v>
      </c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 t="s">
        <v>35</v>
      </c>
      <c r="AE208" s="18"/>
    </row>
    <row r="209" spans="1:31" s="18" customFormat="1" x14ac:dyDescent="0.25">
      <c r="A209" s="18"/>
      <c r="B209" s="19">
        <v>3</v>
      </c>
      <c r="C209" s="18"/>
      <c r="D209" s="20"/>
      <c r="E209" s="20"/>
      <c r="F209" s="20"/>
      <c r="G209" s="18"/>
      <c r="H209" s="18"/>
      <c r="I209" s="18" t="s">
        <v>435</v>
      </c>
      <c r="J209" s="18"/>
      <c r="K209" s="18"/>
      <c r="L209" s="18" t="s">
        <v>436</v>
      </c>
      <c r="M209" s="19">
        <f t="shared" si="13"/>
        <v>35</v>
      </c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 t="s">
        <v>35</v>
      </c>
      <c r="AE209" s="18"/>
    </row>
    <row r="210" spans="1:31" s="18" customFormat="1" x14ac:dyDescent="0.25">
      <c r="A210" s="18"/>
      <c r="B210" s="19">
        <v>3</v>
      </c>
      <c r="C210" s="18"/>
      <c r="D210" s="20"/>
      <c r="E210" s="20"/>
      <c r="F210" s="20"/>
      <c r="G210" s="18"/>
      <c r="H210" s="18"/>
      <c r="I210" s="18" t="s">
        <v>437</v>
      </c>
      <c r="J210" s="18"/>
      <c r="K210" s="18"/>
      <c r="L210" s="18" t="s">
        <v>438</v>
      </c>
      <c r="M210" s="19">
        <f t="shared" si="13"/>
        <v>43</v>
      </c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 t="s">
        <v>35</v>
      </c>
      <c r="AE210" s="18"/>
    </row>
    <row r="211" spans="1:31" s="18" customFormat="1" x14ac:dyDescent="0.25">
      <c r="A211" s="18"/>
      <c r="B211" s="19">
        <v>3</v>
      </c>
      <c r="C211" s="18"/>
      <c r="D211" s="18"/>
      <c r="E211" s="18"/>
      <c r="F211" s="18"/>
      <c r="G211" s="18"/>
      <c r="H211" s="18"/>
      <c r="I211" s="18" t="s">
        <v>439</v>
      </c>
      <c r="J211" s="18"/>
      <c r="K211" s="18"/>
      <c r="L211" s="18" t="s">
        <v>440</v>
      </c>
      <c r="M211" s="19">
        <f t="shared" si="13"/>
        <v>33</v>
      </c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 t="s">
        <v>35</v>
      </c>
      <c r="AE211" s="18"/>
    </row>
    <row r="212" spans="1:31" s="18" customFormat="1" x14ac:dyDescent="0.25">
      <c r="A212" s="18"/>
      <c r="B212" s="19">
        <v>3</v>
      </c>
      <c r="C212" s="18"/>
      <c r="D212" s="20"/>
      <c r="E212" s="20"/>
      <c r="F212" s="20"/>
      <c r="G212" s="18"/>
      <c r="H212" s="18"/>
      <c r="I212" s="18" t="s">
        <v>441</v>
      </c>
      <c r="J212" s="18"/>
      <c r="K212" s="18"/>
      <c r="L212" s="18" t="s">
        <v>442</v>
      </c>
      <c r="M212" s="19">
        <f>LEN(L212)</f>
        <v>32</v>
      </c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 t="s">
        <v>35</v>
      </c>
      <c r="AE212" s="18"/>
    </row>
    <row r="213" spans="1:31" s="15" customFormat="1" x14ac:dyDescent="0.25">
      <c r="A213" s="15"/>
      <c r="B213" s="16">
        <v>2</v>
      </c>
      <c r="C213" s="15"/>
      <c r="D213" s="17"/>
      <c r="E213" s="17"/>
      <c r="F213" s="17"/>
      <c r="G213" s="15"/>
      <c r="H213" s="15" t="s">
        <v>443</v>
      </c>
      <c r="I213" s="15"/>
      <c r="J213" s="15"/>
      <c r="K213" s="15"/>
      <c r="L213" s="15" t="s">
        <v>444</v>
      </c>
      <c r="M213" s="16">
        <f t="shared" si="13"/>
        <v>45</v>
      </c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 t="s">
        <v>35</v>
      </c>
      <c r="AE213" s="15"/>
    </row>
    <row r="214" spans="1:31" s="18" customFormat="1" x14ac:dyDescent="0.25">
      <c r="A214" s="18"/>
      <c r="B214" s="19">
        <v>3</v>
      </c>
      <c r="C214" s="18"/>
      <c r="D214" s="20"/>
      <c r="E214" s="20"/>
      <c r="F214" s="20"/>
      <c r="G214" s="18"/>
      <c r="H214" s="18"/>
      <c r="I214" s="18" t="s">
        <v>445</v>
      </c>
      <c r="J214" s="18"/>
      <c r="K214" s="18"/>
      <c r="L214" s="18" t="s">
        <v>446</v>
      </c>
      <c r="M214" s="19">
        <f t="shared" si="13"/>
        <v>43</v>
      </c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 t="s">
        <v>35</v>
      </c>
      <c r="AE214" s="18"/>
    </row>
    <row r="215" spans="1:31" s="15" customFormat="1" x14ac:dyDescent="0.25">
      <c r="A215" s="15"/>
      <c r="B215" s="16">
        <v>2</v>
      </c>
      <c r="C215" s="15"/>
      <c r="D215" s="17"/>
      <c r="E215" s="17"/>
      <c r="F215" s="17"/>
      <c r="G215" s="15"/>
      <c r="H215" s="15" t="s">
        <v>447</v>
      </c>
      <c r="I215" s="15"/>
      <c r="J215" s="15"/>
      <c r="K215" s="15"/>
      <c r="L215" s="15" t="s">
        <v>448</v>
      </c>
      <c r="M215" s="16">
        <f t="shared" si="13"/>
        <v>24</v>
      </c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 t="s">
        <v>35</v>
      </c>
      <c r="AE215" s="15"/>
    </row>
    <row r="216" spans="1:31" s="13" customFormat="1" x14ac:dyDescent="0.25">
      <c r="A216" s="13"/>
      <c r="B216" s="14">
        <v>1</v>
      </c>
      <c r="C216" s="13">
        <v>5001</v>
      </c>
      <c r="D216" s="14" t="s">
        <v>31</v>
      </c>
      <c r="E216" s="14" t="s">
        <v>32</v>
      </c>
      <c r="F216" s="14" t="s">
        <v>34</v>
      </c>
      <c r="G216" s="14" t="s">
        <v>449</v>
      </c>
      <c r="H216" s="14"/>
      <c r="I216" s="14"/>
      <c r="J216" s="13" t="str">
        <f t="shared" ref="J216:J226" si="17">(C216)&amp;"-"&amp;(D216)&amp;"-"&amp;(E216)&amp;"-"&amp;(F216)&amp;"-"&amp;(G216)</f>
        <v>5001-PM03-BR-BR1-35-34XS-562</v>
      </c>
      <c r="K216" s="14">
        <f t="shared" ref="K216:K226" si="18">LEN(J216)</f>
        <v>28</v>
      </c>
      <c r="L216" s="14" t="s">
        <v>450</v>
      </c>
      <c r="M216" s="14">
        <f t="shared" si="13"/>
        <v>40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4" t="s">
        <v>35</v>
      </c>
      <c r="AE216" s="13"/>
    </row>
    <row r="217" spans="1:31" s="13" customFormat="1" x14ac:dyDescent="0.25">
      <c r="A217" s="13"/>
      <c r="B217" s="14">
        <v>1</v>
      </c>
      <c r="C217" s="13">
        <v>5001</v>
      </c>
      <c r="D217" s="14" t="s">
        <v>31</v>
      </c>
      <c r="E217" s="14" t="s">
        <v>32</v>
      </c>
      <c r="F217" s="14" t="s">
        <v>34</v>
      </c>
      <c r="G217" s="14" t="s">
        <v>451</v>
      </c>
      <c r="H217" s="14"/>
      <c r="I217" s="14"/>
      <c r="J217" s="13" t="str">
        <f t="shared" si="17"/>
        <v>5001-PM03-BR-BR1-35-24KJ-564</v>
      </c>
      <c r="K217" s="14">
        <f t="shared" si="18"/>
        <v>28</v>
      </c>
      <c r="L217" s="14" t="s">
        <v>452</v>
      </c>
      <c r="M217" s="14">
        <f t="shared" si="13"/>
        <v>35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4" t="s">
        <v>35</v>
      </c>
      <c r="AE217" s="13"/>
    </row>
    <row r="218" spans="1:31" s="13" customFormat="1" x14ac:dyDescent="0.25">
      <c r="A218" s="13"/>
      <c r="B218" s="14">
        <v>1</v>
      </c>
      <c r="C218" s="13">
        <v>5001</v>
      </c>
      <c r="D218" s="14" t="s">
        <v>31</v>
      </c>
      <c r="E218" s="14" t="s">
        <v>32</v>
      </c>
      <c r="F218" s="14" t="s">
        <v>34</v>
      </c>
      <c r="G218" s="14" t="s">
        <v>453</v>
      </c>
      <c r="H218" s="14"/>
      <c r="I218" s="14"/>
      <c r="J218" s="13" t="str">
        <f t="shared" si="17"/>
        <v>5001-PM03-BR-BR1-35-24KJ-565</v>
      </c>
      <c r="K218" s="14">
        <f t="shared" si="18"/>
        <v>28</v>
      </c>
      <c r="L218" s="14" t="s">
        <v>454</v>
      </c>
      <c r="M218" s="14">
        <f t="shared" si="13"/>
        <v>34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4" t="s">
        <v>35</v>
      </c>
      <c r="AE218" s="13"/>
    </row>
    <row r="219" ht="150" customHeight="1" spans="1:31" s="24" customFormat="1" x14ac:dyDescent="0.25">
      <c r="A219" s="24"/>
      <c r="B219" s="25">
        <v>1</v>
      </c>
      <c r="C219" s="24">
        <v>5001</v>
      </c>
      <c r="D219" s="25" t="s">
        <v>31</v>
      </c>
      <c r="E219" s="25" t="s">
        <v>32</v>
      </c>
      <c r="F219" s="25" t="s">
        <v>34</v>
      </c>
      <c r="G219" s="25" t="s">
        <v>455</v>
      </c>
      <c r="H219" s="25"/>
      <c r="I219" s="25"/>
      <c r="J219" s="24" t="str">
        <f t="shared" si="17"/>
        <v>5001-PM03-BR-BR1-35-24HS-572</v>
      </c>
      <c r="K219" s="25">
        <f t="shared" si="18"/>
        <v>28</v>
      </c>
      <c r="L219" s="30" t="s">
        <v>456</v>
      </c>
      <c r="M219" s="25">
        <f t="shared" si="13"/>
        <v>61</v>
      </c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5" t="s">
        <v>35</v>
      </c>
      <c r="AE219" s="24"/>
    </row>
    <row r="220" spans="1:31" s="24" customFormat="1" x14ac:dyDescent="0.25">
      <c r="A220" s="24"/>
      <c r="B220" s="25">
        <v>1</v>
      </c>
      <c r="C220" s="24">
        <v>5001</v>
      </c>
      <c r="D220" s="25" t="s">
        <v>31</v>
      </c>
      <c r="E220" s="25" t="s">
        <v>32</v>
      </c>
      <c r="F220" s="25" t="s">
        <v>34</v>
      </c>
      <c r="G220" s="25" t="s">
        <v>457</v>
      </c>
      <c r="H220" s="25"/>
      <c r="I220" s="25"/>
      <c r="J220" s="24" t="str">
        <f t="shared" si="17"/>
        <v>5001-PM03-BR-BR1-35-24HI-572</v>
      </c>
      <c r="K220" s="25">
        <f t="shared" si="18"/>
        <v>28</v>
      </c>
      <c r="L220" s="25" t="s">
        <v>458</v>
      </c>
      <c r="M220" s="25">
        <f t="shared" si="13"/>
        <v>47</v>
      </c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5" t="s">
        <v>35</v>
      </c>
      <c r="AE220" s="24"/>
    </row>
    <row r="221" spans="1:31" s="13" customFormat="1" x14ac:dyDescent="0.25">
      <c r="A221" s="13"/>
      <c r="B221" s="14">
        <v>1</v>
      </c>
      <c r="C221" s="13">
        <v>5001</v>
      </c>
      <c r="D221" s="14" t="s">
        <v>31</v>
      </c>
      <c r="E221" s="14" t="s">
        <v>32</v>
      </c>
      <c r="F221" s="14" t="s">
        <v>34</v>
      </c>
      <c r="G221" s="14" t="s">
        <v>459</v>
      </c>
      <c r="H221" s="14"/>
      <c r="I221" s="14"/>
      <c r="J221" s="13" t="str">
        <f t="shared" si="17"/>
        <v>5001-PM03-BR-BR1-35-24HS-563</v>
      </c>
      <c r="K221" s="14">
        <f t="shared" si="18"/>
        <v>28</v>
      </c>
      <c r="L221" s="14" t="s">
        <v>460</v>
      </c>
      <c r="M221" s="14">
        <f t="shared" si="13"/>
        <v>41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4" t="s">
        <v>35</v>
      </c>
      <c r="AE221" s="13"/>
    </row>
    <row r="222" spans="1:31" s="24" customFormat="1" x14ac:dyDescent="0.25">
      <c r="A222" s="24"/>
      <c r="B222" s="25">
        <v>1</v>
      </c>
      <c r="C222" s="24">
        <v>5001</v>
      </c>
      <c r="D222" s="25" t="s">
        <v>31</v>
      </c>
      <c r="E222" s="25" t="s">
        <v>32</v>
      </c>
      <c r="F222" s="25" t="s">
        <v>34</v>
      </c>
      <c r="G222" s="25" t="s">
        <v>455</v>
      </c>
      <c r="H222" s="25"/>
      <c r="I222" s="25"/>
      <c r="J222" s="24" t="str">
        <f t="shared" si="17"/>
        <v>5001-PM03-BR-BR1-35-24HS-572</v>
      </c>
      <c r="K222" s="25">
        <f t="shared" si="18"/>
        <v>28</v>
      </c>
      <c r="L222" s="25" t="s">
        <v>461</v>
      </c>
      <c r="M222" s="25">
        <f t="shared" si="13"/>
        <v>44</v>
      </c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5" t="s">
        <v>35</v>
      </c>
      <c r="AE222" s="24"/>
    </row>
    <row r="223" spans="1:31" s="24" customFormat="1" x14ac:dyDescent="0.25">
      <c r="A223" s="24"/>
      <c r="B223" s="25">
        <v>1</v>
      </c>
      <c r="C223" s="24">
        <v>5001</v>
      </c>
      <c r="D223" s="25" t="s">
        <v>31</v>
      </c>
      <c r="E223" s="25" t="s">
        <v>32</v>
      </c>
      <c r="F223" s="25" t="s">
        <v>34</v>
      </c>
      <c r="G223" s="25" t="s">
        <v>457</v>
      </c>
      <c r="H223" s="25"/>
      <c r="I223" s="25"/>
      <c r="J223" s="24" t="str">
        <f t="shared" si="17"/>
        <v>5001-PM03-BR-BR1-35-24HI-572</v>
      </c>
      <c r="K223" s="25">
        <f t="shared" si="18"/>
        <v>28</v>
      </c>
      <c r="L223" s="25" t="s">
        <v>462</v>
      </c>
      <c r="M223" s="25">
        <f t="shared" si="13"/>
        <v>44</v>
      </c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5" t="s">
        <v>35</v>
      </c>
      <c r="AE223" s="24"/>
    </row>
    <row r="224" spans="1:31" s="24" customFormat="1" x14ac:dyDescent="0.25">
      <c r="A224" s="24"/>
      <c r="B224" s="14">
        <v>1</v>
      </c>
      <c r="C224" s="13">
        <v>5001</v>
      </c>
      <c r="D224" s="14" t="s">
        <v>31</v>
      </c>
      <c r="E224" s="14" t="s">
        <v>32</v>
      </c>
      <c r="F224" s="14" t="s">
        <v>34</v>
      </c>
      <c r="G224" s="14" t="s">
        <v>463</v>
      </c>
      <c r="H224" s="14"/>
      <c r="I224" s="14"/>
      <c r="J224" s="13" t="str">
        <f t="shared" si="17"/>
        <v>5001-PM03-BR-BR1-35-24HS-575</v>
      </c>
      <c r="K224" s="14">
        <f t="shared" si="18"/>
        <v>28</v>
      </c>
      <c r="L224" s="14" t="s">
        <v>464</v>
      </c>
      <c r="M224" s="14">
        <f t="shared" si="13"/>
        <v>41</v>
      </c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14" t="s">
        <v>35</v>
      </c>
      <c r="AE224" s="13"/>
    </row>
    <row r="225" spans="1:31" s="24" customFormat="1" x14ac:dyDescent="0.25">
      <c r="A225" s="24"/>
      <c r="B225" s="14">
        <v>1</v>
      </c>
      <c r="C225" s="13">
        <v>5001</v>
      </c>
      <c r="D225" s="14" t="s">
        <v>31</v>
      </c>
      <c r="E225" s="14" t="s">
        <v>32</v>
      </c>
      <c r="F225" s="14" t="s">
        <v>34</v>
      </c>
      <c r="G225" s="14" t="s">
        <v>465</v>
      </c>
      <c r="H225" s="14"/>
      <c r="I225" s="14"/>
      <c r="J225" s="13" t="str">
        <f t="shared" si="17"/>
        <v>5001-PM03-BR-BR1-35-24HI-575</v>
      </c>
      <c r="K225" s="14">
        <f t="shared" si="18"/>
        <v>28</v>
      </c>
      <c r="L225" s="14" t="s">
        <v>466</v>
      </c>
      <c r="M225" s="14">
        <f t="shared" si="13"/>
        <v>41</v>
      </c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14" t="s">
        <v>35</v>
      </c>
      <c r="AE225" s="13"/>
    </row>
    <row r="226" spans="1:31" s="13" customFormat="1" x14ac:dyDescent="0.25">
      <c r="A226" s="13"/>
      <c r="B226" s="14">
        <v>1</v>
      </c>
      <c r="C226" s="13">
        <v>5001</v>
      </c>
      <c r="D226" s="14" t="s">
        <v>31</v>
      </c>
      <c r="E226" s="14" t="s">
        <v>32</v>
      </c>
      <c r="F226" s="14" t="s">
        <v>34</v>
      </c>
      <c r="G226" s="14" t="s">
        <v>467</v>
      </c>
      <c r="H226" s="14"/>
      <c r="I226" s="14"/>
      <c r="J226" s="13" t="str">
        <f t="shared" si="17"/>
        <v>5001-PM03-BR-BR1-35-24T603</v>
      </c>
      <c r="K226" s="14">
        <f t="shared" si="18"/>
        <v>26</v>
      </c>
      <c r="L226" s="14" t="s">
        <v>468</v>
      </c>
      <c r="M226" s="14">
        <f t="shared" si="13"/>
        <v>30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4" t="s">
        <v>35</v>
      </c>
      <c r="AE226" s="13"/>
    </row>
    <row r="227" ht="90" customHeight="1" spans="1:31" s="15" customFormat="1" x14ac:dyDescent="0.25">
      <c r="A227" s="15"/>
      <c r="B227" s="16">
        <v>2</v>
      </c>
      <c r="C227" s="15"/>
      <c r="D227" s="17"/>
      <c r="E227" s="17"/>
      <c r="F227" s="17"/>
      <c r="G227" s="15"/>
      <c r="H227" s="15" t="s">
        <v>469</v>
      </c>
      <c r="I227" s="15"/>
      <c r="J227" s="15"/>
      <c r="K227" s="15"/>
      <c r="L227" s="31" t="s">
        <v>470</v>
      </c>
      <c r="M227" s="16">
        <f t="shared" si="13"/>
        <v>41</v>
      </c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 t="s">
        <v>35</v>
      </c>
      <c r="AE227" s="15"/>
    </row>
    <row r="228" spans="1:31" s="15" customFormat="1" x14ac:dyDescent="0.25">
      <c r="A228" s="15"/>
      <c r="B228" s="16">
        <v>2</v>
      </c>
      <c r="C228" s="15"/>
      <c r="D228" s="17"/>
      <c r="E228" s="17"/>
      <c r="F228" s="17"/>
      <c r="G228" s="32"/>
      <c r="H228" s="15" t="s">
        <v>471</v>
      </c>
      <c r="I228" s="32"/>
      <c r="J228" s="32"/>
      <c r="K228" s="32"/>
      <c r="L228" s="15" t="s">
        <v>472</v>
      </c>
      <c r="M228" s="16">
        <f t="shared" si="13"/>
        <v>39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 t="s">
        <v>35</v>
      </c>
      <c r="AE228" s="15"/>
    </row>
    <row r="229" spans="1:31" s="15" customFormat="1" x14ac:dyDescent="0.25">
      <c r="A229" s="15"/>
      <c r="B229" s="16">
        <v>2</v>
      </c>
      <c r="C229" s="15"/>
      <c r="D229" s="17"/>
      <c r="E229" s="17"/>
      <c r="F229" s="17"/>
      <c r="G229" s="15"/>
      <c r="H229" s="15" t="s">
        <v>473</v>
      </c>
      <c r="I229" s="15"/>
      <c r="J229" s="15"/>
      <c r="K229" s="15"/>
      <c r="L229" s="15" t="s">
        <v>474</v>
      </c>
      <c r="M229" s="16">
        <f t="shared" si="13"/>
        <v>37</v>
      </c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 t="s">
        <v>35</v>
      </c>
      <c r="AE229" s="15"/>
    </row>
    <row r="230" spans="1:31" s="18" customFormat="1" x14ac:dyDescent="0.25">
      <c r="A230" s="18"/>
      <c r="B230" s="19">
        <v>3</v>
      </c>
      <c r="C230" s="18"/>
      <c r="D230" s="20"/>
      <c r="E230" s="20"/>
      <c r="F230" s="20"/>
      <c r="G230" s="18"/>
      <c r="H230" s="18"/>
      <c r="I230" s="18" t="s">
        <v>475</v>
      </c>
      <c r="J230" s="18"/>
      <c r="K230" s="18"/>
      <c r="L230" s="18" t="s">
        <v>476</v>
      </c>
      <c r="M230" s="19">
        <f t="shared" si="13"/>
        <v>45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 t="s">
        <v>35</v>
      </c>
      <c r="AE230" s="18"/>
    </row>
    <row r="231" spans="1:31" s="15" customFormat="1" x14ac:dyDescent="0.25">
      <c r="A231" s="15"/>
      <c r="B231" s="16">
        <v>2</v>
      </c>
      <c r="C231" s="15"/>
      <c r="D231" s="17"/>
      <c r="E231" s="17"/>
      <c r="F231" s="17"/>
      <c r="G231" s="15"/>
      <c r="H231" s="15" t="s">
        <v>477</v>
      </c>
      <c r="I231" s="15"/>
      <c r="J231" s="15"/>
      <c r="K231" s="15"/>
      <c r="L231" s="15" t="s">
        <v>478</v>
      </c>
      <c r="M231" s="16">
        <f t="shared" si="13"/>
        <v>34</v>
      </c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 t="s">
        <v>35</v>
      </c>
      <c r="AE231" s="15"/>
    </row>
    <row r="232" spans="1:31" s="18" customFormat="1" x14ac:dyDescent="0.25">
      <c r="A232" s="18"/>
      <c r="B232" s="19">
        <v>3</v>
      </c>
      <c r="C232" s="18"/>
      <c r="D232" s="20"/>
      <c r="E232" s="20"/>
      <c r="F232" s="20"/>
      <c r="G232" s="18"/>
      <c r="H232" s="18"/>
      <c r="I232" s="18" t="s">
        <v>479</v>
      </c>
      <c r="J232" s="18"/>
      <c r="K232" s="18"/>
      <c r="L232" s="18" t="s">
        <v>480</v>
      </c>
      <c r="M232" s="19">
        <f t="shared" si="13"/>
        <v>40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 t="s">
        <v>35</v>
      </c>
      <c r="AE232" s="18"/>
    </row>
    <row r="233" spans="1:31" s="15" customFormat="1" x14ac:dyDescent="0.25">
      <c r="A233" s="15"/>
      <c r="B233" s="16">
        <v>2</v>
      </c>
      <c r="C233" s="15"/>
      <c r="D233" s="17"/>
      <c r="E233" s="17"/>
      <c r="F233" s="17"/>
      <c r="G233" s="15"/>
      <c r="H233" s="15" t="s">
        <v>481</v>
      </c>
      <c r="I233" s="15"/>
      <c r="J233" s="15"/>
      <c r="K233" s="15"/>
      <c r="L233" s="15" t="s">
        <v>482</v>
      </c>
      <c r="M233" s="16">
        <f t="shared" si="13"/>
        <v>27</v>
      </c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 t="s">
        <v>35</v>
      </c>
      <c r="AE233" s="15"/>
    </row>
    <row r="234" spans="1:31" s="18" customFormat="1" x14ac:dyDescent="0.25">
      <c r="A234" s="18"/>
      <c r="B234" s="19">
        <v>3</v>
      </c>
      <c r="C234" s="18"/>
      <c r="D234" s="20"/>
      <c r="E234" s="20"/>
      <c r="F234" s="20"/>
      <c r="G234" s="18"/>
      <c r="H234" s="18"/>
      <c r="I234" s="18" t="s">
        <v>483</v>
      </c>
      <c r="J234" s="18"/>
      <c r="K234" s="18"/>
      <c r="L234" s="18" t="s">
        <v>484</v>
      </c>
      <c r="M234" s="19">
        <f t="shared" si="13"/>
        <v>37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 t="s">
        <v>35</v>
      </c>
      <c r="AE234" s="18"/>
    </row>
    <row r="235" spans="1:31" s="18" customFormat="1" x14ac:dyDescent="0.25">
      <c r="A235" s="18"/>
      <c r="B235" s="19">
        <v>3</v>
      </c>
      <c r="C235" s="18"/>
      <c r="D235" s="20"/>
      <c r="E235" s="20"/>
      <c r="F235" s="20"/>
      <c r="G235" s="18"/>
      <c r="H235" s="18"/>
      <c r="I235" s="18" t="s">
        <v>485</v>
      </c>
      <c r="J235" s="18"/>
      <c r="K235" s="18"/>
      <c r="L235" s="18" t="s">
        <v>486</v>
      </c>
      <c r="M235" s="19">
        <f t="shared" si="13"/>
        <v>43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 t="s">
        <v>35</v>
      </c>
      <c r="AE235" s="18"/>
    </row>
    <row r="236" spans="1:31" s="18" customFormat="1" x14ac:dyDescent="0.25">
      <c r="A236" s="18"/>
      <c r="B236" s="19">
        <v>3</v>
      </c>
      <c r="C236" s="18"/>
      <c r="D236" s="20"/>
      <c r="E236" s="20"/>
      <c r="F236" s="20"/>
      <c r="G236" s="18"/>
      <c r="H236" s="18"/>
      <c r="I236" s="18" t="s">
        <v>487</v>
      </c>
      <c r="J236" s="18"/>
      <c r="K236" s="18"/>
      <c r="L236" s="18" t="s">
        <v>488</v>
      </c>
      <c r="M236" s="19">
        <f t="shared" si="13"/>
        <v>41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 t="s">
        <v>35</v>
      </c>
      <c r="AE236" s="18"/>
    </row>
    <row r="237" spans="1:31" s="13" customFormat="1" x14ac:dyDescent="0.25">
      <c r="A237" s="13"/>
      <c r="B237" s="14">
        <v>1</v>
      </c>
      <c r="C237" s="13">
        <v>5001</v>
      </c>
      <c r="D237" s="14" t="s">
        <v>31</v>
      </c>
      <c r="E237" s="14" t="s">
        <v>32</v>
      </c>
      <c r="F237" s="14" t="s">
        <v>34</v>
      </c>
      <c r="G237" s="14" t="s">
        <v>489</v>
      </c>
      <c r="H237" s="14"/>
      <c r="I237" s="14"/>
      <c r="J237" s="13" t="str">
        <f t="shared" ref="J237" si="19">(C237)&amp;"-"&amp;(D237)&amp;"-"&amp;(E237)&amp;"-"&amp;(F237)&amp;"-"&amp;(G237)</f>
        <v>5001-PM03-BR-BR1-35-24P510</v>
      </c>
      <c r="K237" s="14">
        <f t="shared" ref="K237" si="20">LEN(J237)</f>
        <v>26</v>
      </c>
      <c r="L237" s="14" t="s">
        <v>490</v>
      </c>
      <c r="M237" s="14">
        <f t="shared" si="13"/>
        <v>36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4" t="s">
        <v>35</v>
      </c>
      <c r="AE237" s="13"/>
    </row>
    <row r="238" spans="1:31" s="15" customFormat="1" x14ac:dyDescent="0.25">
      <c r="A238" s="15"/>
      <c r="B238" s="16">
        <v>2</v>
      </c>
      <c r="C238" s="15"/>
      <c r="D238" s="17"/>
      <c r="E238" s="17"/>
      <c r="F238" s="17"/>
      <c r="G238" s="15"/>
      <c r="H238" s="15" t="s">
        <v>489</v>
      </c>
      <c r="I238" s="15"/>
      <c r="J238" s="15"/>
      <c r="K238" s="15"/>
      <c r="L238" s="15" t="s">
        <v>491</v>
      </c>
      <c r="M238" s="16">
        <f t="shared" si="13"/>
        <v>18</v>
      </c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 t="s">
        <v>35</v>
      </c>
      <c r="AE238" s="15"/>
    </row>
    <row r="239" spans="1:31" s="15" customFormat="1" x14ac:dyDescent="0.25">
      <c r="A239" s="15"/>
      <c r="B239" s="16">
        <v>2</v>
      </c>
      <c r="C239" s="15"/>
      <c r="D239" s="17"/>
      <c r="E239" s="17"/>
      <c r="F239" s="17"/>
      <c r="G239" s="15"/>
      <c r="H239" s="15" t="s">
        <v>492</v>
      </c>
      <c r="I239" s="15"/>
      <c r="J239" s="15"/>
      <c r="K239" s="15"/>
      <c r="L239" s="15" t="s">
        <v>493</v>
      </c>
      <c r="M239" s="16">
        <f t="shared" si="13"/>
        <v>42</v>
      </c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 t="s">
        <v>35</v>
      </c>
      <c r="AE239" s="15"/>
    </row>
    <row r="240" spans="1:31" s="15" customFormat="1" x14ac:dyDescent="0.25">
      <c r="A240" s="15"/>
      <c r="B240" s="16">
        <v>2</v>
      </c>
      <c r="C240" s="15"/>
      <c r="D240" s="17"/>
      <c r="E240" s="17"/>
      <c r="F240" s="17"/>
      <c r="G240" s="15"/>
      <c r="H240" s="15" t="s">
        <v>494</v>
      </c>
      <c r="I240" s="15"/>
      <c r="J240" s="15"/>
      <c r="K240" s="15"/>
      <c r="L240" s="15" t="s">
        <v>495</v>
      </c>
      <c r="M240" s="16">
        <f t="shared" si="13"/>
        <v>26</v>
      </c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 t="s">
        <v>35</v>
      </c>
      <c r="AE240" s="15"/>
    </row>
    <row r="241" spans="1:31" s="18" customFormat="1" x14ac:dyDescent="0.25">
      <c r="A241" s="18"/>
      <c r="B241" s="19">
        <v>3</v>
      </c>
      <c r="C241" s="18"/>
      <c r="D241" s="20"/>
      <c r="E241" s="20"/>
      <c r="F241" s="20"/>
      <c r="G241" s="18"/>
      <c r="H241" s="18"/>
      <c r="I241" s="18" t="s">
        <v>496</v>
      </c>
      <c r="J241" s="18"/>
      <c r="K241" s="18"/>
      <c r="L241" s="18" t="s">
        <v>497</v>
      </c>
      <c r="M241" s="19">
        <f t="shared" si="13"/>
        <v>42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 t="s">
        <v>35</v>
      </c>
      <c r="AE241" s="18"/>
    </row>
    <row r="242" spans="1:31" s="18" customFormat="1" x14ac:dyDescent="0.25">
      <c r="A242" s="18"/>
      <c r="B242" s="19">
        <v>3</v>
      </c>
      <c r="C242" s="18"/>
      <c r="D242" s="20"/>
      <c r="E242" s="20"/>
      <c r="F242" s="20"/>
      <c r="G242" s="18"/>
      <c r="H242" s="18"/>
      <c r="I242" s="18" t="s">
        <v>498</v>
      </c>
      <c r="J242" s="18"/>
      <c r="K242" s="18"/>
      <c r="L242" s="18" t="s">
        <v>499</v>
      </c>
      <c r="M242" s="19">
        <f t="shared" si="13"/>
        <v>47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 t="s">
        <v>35</v>
      </c>
      <c r="AE242" s="18"/>
    </row>
    <row r="243" spans="1:31" s="18" customFormat="1" x14ac:dyDescent="0.25">
      <c r="A243" s="18"/>
      <c r="B243" s="19">
        <v>3</v>
      </c>
      <c r="C243" s="18"/>
      <c r="D243" s="20"/>
      <c r="E243" s="20"/>
      <c r="F243" s="20"/>
      <c r="G243" s="18"/>
      <c r="H243" s="18"/>
      <c r="I243" s="18" t="s">
        <v>500</v>
      </c>
      <c r="J243" s="18"/>
      <c r="K243" s="18"/>
      <c r="L243" s="18" t="s">
        <v>501</v>
      </c>
      <c r="M243" s="19">
        <f t="shared" si="13"/>
        <v>40</v>
      </c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 t="s">
        <v>35</v>
      </c>
      <c r="AE243" s="18"/>
    </row>
    <row r="244" spans="1:31" s="18" customFormat="1" x14ac:dyDescent="0.25">
      <c r="A244" s="18"/>
      <c r="B244" s="19">
        <v>3</v>
      </c>
      <c r="C244" s="18"/>
      <c r="D244" s="20"/>
      <c r="E244" s="20"/>
      <c r="F244" s="20"/>
      <c r="G244" s="18"/>
      <c r="H244" s="18"/>
      <c r="I244" s="18" t="s">
        <v>229</v>
      </c>
      <c r="J244" s="18"/>
      <c r="K244" s="18"/>
      <c r="L244" s="18" t="s">
        <v>502</v>
      </c>
      <c r="M244" s="19">
        <f t="shared" si="13"/>
        <v>42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 t="s">
        <v>35</v>
      </c>
      <c r="AE244" s="18"/>
    </row>
    <row r="245" spans="1:31" s="18" customFormat="1" x14ac:dyDescent="0.25">
      <c r="A245" s="18"/>
      <c r="B245" s="19">
        <v>3</v>
      </c>
      <c r="C245" s="18"/>
      <c r="D245" s="20"/>
      <c r="E245" s="20"/>
      <c r="F245" s="20"/>
      <c r="G245" s="18"/>
      <c r="H245" s="18"/>
      <c r="I245" s="18" t="s">
        <v>503</v>
      </c>
      <c r="J245" s="18"/>
      <c r="K245" s="18"/>
      <c r="L245" s="18" t="s">
        <v>504</v>
      </c>
      <c r="M245" s="19">
        <f t="shared" si="13"/>
        <v>44</v>
      </c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 t="s">
        <v>35</v>
      </c>
      <c r="AE245" s="18"/>
    </row>
    <row r="246" spans="1:31" s="18" customFormat="1" x14ac:dyDescent="0.25">
      <c r="A246" s="18"/>
      <c r="B246" s="19">
        <v>3</v>
      </c>
      <c r="C246" s="18"/>
      <c r="D246" s="20"/>
      <c r="E246" s="20"/>
      <c r="F246" s="20"/>
      <c r="G246" s="18"/>
      <c r="H246" s="18"/>
      <c r="I246" s="18" t="s">
        <v>505</v>
      </c>
      <c r="J246" s="18"/>
      <c r="K246" s="18"/>
      <c r="L246" s="18" t="s">
        <v>506</v>
      </c>
      <c r="M246" s="19">
        <f t="shared" si="13"/>
        <v>44</v>
      </c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 t="s">
        <v>35</v>
      </c>
      <c r="AE246" s="18"/>
    </row>
    <row r="247" spans="1:31" s="18" customFormat="1" x14ac:dyDescent="0.25">
      <c r="A247" s="18"/>
      <c r="B247" s="19">
        <v>3</v>
      </c>
      <c r="C247" s="18"/>
      <c r="D247" s="20"/>
      <c r="E247" s="20"/>
      <c r="F247" s="20"/>
      <c r="G247" s="18"/>
      <c r="H247" s="18"/>
      <c r="I247" s="18" t="s">
        <v>507</v>
      </c>
      <c r="J247" s="18"/>
      <c r="K247" s="18"/>
      <c r="L247" s="18" t="s">
        <v>508</v>
      </c>
      <c r="M247" s="19">
        <f t="shared" si="13"/>
        <v>47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 t="s">
        <v>35</v>
      </c>
      <c r="AE247" s="18"/>
    </row>
    <row r="248" spans="1:31" s="15" customFormat="1" x14ac:dyDescent="0.25">
      <c r="A248" s="15"/>
      <c r="B248" s="16">
        <v>2</v>
      </c>
      <c r="C248" s="15"/>
      <c r="D248" s="17"/>
      <c r="E248" s="17"/>
      <c r="F248" s="17"/>
      <c r="G248" s="15"/>
      <c r="H248" s="15" t="s">
        <v>509</v>
      </c>
      <c r="I248" s="15"/>
      <c r="J248" s="15"/>
      <c r="K248" s="15"/>
      <c r="L248" s="15" t="s">
        <v>510</v>
      </c>
      <c r="M248" s="16">
        <f t="shared" si="13"/>
        <v>24</v>
      </c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 t="s">
        <v>35</v>
      </c>
      <c r="AE248" s="15"/>
    </row>
    <row r="249" spans="1:31" s="15" customFormat="1" x14ac:dyDescent="0.25">
      <c r="A249" s="15"/>
      <c r="B249" s="16">
        <v>2</v>
      </c>
      <c r="C249" s="15"/>
      <c r="D249" s="17"/>
      <c r="E249" s="17"/>
      <c r="F249" s="17"/>
      <c r="G249" s="15"/>
      <c r="H249" s="15" t="s">
        <v>511</v>
      </c>
      <c r="I249" s="15"/>
      <c r="J249" s="15"/>
      <c r="K249" s="15"/>
      <c r="L249" s="15" t="s">
        <v>512</v>
      </c>
      <c r="M249" s="16">
        <f t="shared" si="13"/>
        <v>27</v>
      </c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 t="s">
        <v>35</v>
      </c>
      <c r="AE249" s="15"/>
    </row>
    <row r="250" spans="1:31" s="18" customFormat="1" x14ac:dyDescent="0.25">
      <c r="A250" s="18"/>
      <c r="B250" s="19">
        <v>3</v>
      </c>
      <c r="C250" s="18"/>
      <c r="D250" s="20"/>
      <c r="E250" s="20"/>
      <c r="F250" s="20"/>
      <c r="G250" s="18"/>
      <c r="H250" s="18"/>
      <c r="I250" s="18" t="s">
        <v>513</v>
      </c>
      <c r="J250" s="18"/>
      <c r="K250" s="18"/>
      <c r="L250" s="18" t="s">
        <v>514</v>
      </c>
      <c r="M250" s="19">
        <f t="shared" si="13"/>
        <v>38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 t="s">
        <v>35</v>
      </c>
      <c r="AE250" s="18"/>
    </row>
    <row r="251" spans="1:31" s="18" customFormat="1" x14ac:dyDescent="0.25">
      <c r="A251" s="18"/>
      <c r="B251" s="19">
        <v>3</v>
      </c>
      <c r="C251" s="18"/>
      <c r="D251" s="20"/>
      <c r="E251" s="20"/>
      <c r="F251" s="20"/>
      <c r="G251" s="18"/>
      <c r="H251" s="18"/>
      <c r="I251" s="18" t="s">
        <v>515</v>
      </c>
      <c r="J251" s="18"/>
      <c r="K251" s="18"/>
      <c r="L251" s="18" t="s">
        <v>516</v>
      </c>
      <c r="M251" s="19">
        <f t="shared" si="13"/>
        <v>42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 t="s">
        <v>35</v>
      </c>
      <c r="AE251" s="18"/>
    </row>
    <row r="252" spans="1:31" s="18" customFormat="1" x14ac:dyDescent="0.25">
      <c r="A252" s="18"/>
      <c r="B252" s="19">
        <v>3</v>
      </c>
      <c r="C252" s="18"/>
      <c r="D252" s="20"/>
      <c r="E252" s="20"/>
      <c r="F252" s="20"/>
      <c r="G252" s="18"/>
      <c r="H252" s="18"/>
      <c r="I252" s="18" t="s">
        <v>517</v>
      </c>
      <c r="J252" s="18"/>
      <c r="K252" s="18"/>
      <c r="L252" s="18" t="s">
        <v>518</v>
      </c>
      <c r="M252" s="19">
        <f t="shared" si="13"/>
        <v>44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 t="s">
        <v>35</v>
      </c>
      <c r="AE252" s="18"/>
    </row>
    <row r="253" spans="1:31" s="13" customFormat="1" x14ac:dyDescent="0.25">
      <c r="A253" s="13"/>
      <c r="B253" s="14">
        <v>1</v>
      </c>
      <c r="C253" s="13">
        <v>5001</v>
      </c>
      <c r="D253" s="14" t="s">
        <v>31</v>
      </c>
      <c r="E253" s="14" t="s">
        <v>32</v>
      </c>
      <c r="F253" s="14" t="s">
        <v>34</v>
      </c>
      <c r="G253" s="14" t="s">
        <v>519</v>
      </c>
      <c r="H253" s="14"/>
      <c r="I253" s="14"/>
      <c r="J253" s="13" t="str">
        <f t="shared" ref="J253" si="21">(C253)&amp;"-"&amp;(D253)&amp;"-"&amp;(E253)&amp;"-"&amp;(F253)&amp;"-"&amp;(G253)</f>
        <v>5001-PM03-BR-BR1-35-24P511</v>
      </c>
      <c r="K253" s="14">
        <f t="shared" ref="K253" si="22">LEN(J253)</f>
        <v>26</v>
      </c>
      <c r="L253" s="14" t="s">
        <v>520</v>
      </c>
      <c r="M253" s="14">
        <f t="shared" si="13"/>
        <v>36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4" t="s">
        <v>35</v>
      </c>
      <c r="AE253" s="13"/>
    </row>
    <row r="254" spans="1:31" s="15" customFormat="1" x14ac:dyDescent="0.25">
      <c r="A254" s="15"/>
      <c r="B254" s="16">
        <v>2</v>
      </c>
      <c r="C254" s="15"/>
      <c r="D254" s="17"/>
      <c r="E254" s="17"/>
      <c r="F254" s="17"/>
      <c r="G254" s="15"/>
      <c r="H254" s="15" t="s">
        <v>519</v>
      </c>
      <c r="I254" s="15"/>
      <c r="J254" s="15"/>
      <c r="K254" s="15"/>
      <c r="L254" s="15" t="s">
        <v>521</v>
      </c>
      <c r="M254" s="16">
        <f t="shared" si="13"/>
        <v>18</v>
      </c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 t="s">
        <v>35</v>
      </c>
      <c r="AE254" s="15"/>
    </row>
    <row r="255" spans="1:31" s="15" customFormat="1" x14ac:dyDescent="0.25">
      <c r="A255" s="15"/>
      <c r="B255" s="16">
        <v>2</v>
      </c>
      <c r="C255" s="15"/>
      <c r="D255" s="17"/>
      <c r="E255" s="17"/>
      <c r="F255" s="17"/>
      <c r="G255" s="15"/>
      <c r="H255" s="15" t="s">
        <v>522</v>
      </c>
      <c r="I255" s="15"/>
      <c r="J255" s="15"/>
      <c r="K255" s="15"/>
      <c r="L255" s="15" t="s">
        <v>523</v>
      </c>
      <c r="M255" s="16">
        <f t="shared" si="13"/>
        <v>42</v>
      </c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 t="s">
        <v>35</v>
      </c>
      <c r="AE255" s="15"/>
    </row>
    <row r="256" spans="1:31" s="15" customFormat="1" x14ac:dyDescent="0.25">
      <c r="A256" s="15"/>
      <c r="B256" s="16">
        <v>2</v>
      </c>
      <c r="C256" s="15"/>
      <c r="D256" s="17"/>
      <c r="E256" s="17"/>
      <c r="F256" s="17"/>
      <c r="G256" s="15"/>
      <c r="H256" s="15" t="s">
        <v>524</v>
      </c>
      <c r="I256" s="15"/>
      <c r="J256" s="15"/>
      <c r="K256" s="15"/>
      <c r="L256" s="15" t="s">
        <v>525</v>
      </c>
      <c r="M256" s="16">
        <f t="shared" si="13"/>
        <v>26</v>
      </c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 t="s">
        <v>35</v>
      </c>
      <c r="AE256" s="15"/>
    </row>
    <row r="257" spans="1:31" s="18" customFormat="1" x14ac:dyDescent="0.25">
      <c r="A257" s="18"/>
      <c r="B257" s="19">
        <v>3</v>
      </c>
      <c r="C257" s="18"/>
      <c r="D257" s="20"/>
      <c r="E257" s="20"/>
      <c r="F257" s="20"/>
      <c r="G257" s="18"/>
      <c r="H257" s="18"/>
      <c r="I257" s="18" t="s">
        <v>526</v>
      </c>
      <c r="J257" s="18"/>
      <c r="K257" s="18"/>
      <c r="L257" s="18" t="s">
        <v>527</v>
      </c>
      <c r="M257" s="19">
        <f t="shared" si="13"/>
        <v>42</v>
      </c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 t="s">
        <v>35</v>
      </c>
      <c r="AE257" s="18"/>
    </row>
    <row r="258" spans="1:31" s="18" customFormat="1" x14ac:dyDescent="0.25">
      <c r="A258" s="18"/>
      <c r="B258" s="19">
        <v>3</v>
      </c>
      <c r="C258" s="18"/>
      <c r="D258" s="20"/>
      <c r="E258" s="20"/>
      <c r="F258" s="20"/>
      <c r="G258" s="18"/>
      <c r="H258" s="18"/>
      <c r="I258" s="18" t="s">
        <v>528</v>
      </c>
      <c r="J258" s="18"/>
      <c r="K258" s="18"/>
      <c r="L258" s="18" t="s">
        <v>529</v>
      </c>
      <c r="M258" s="19">
        <f t="shared" si="13"/>
        <v>50</v>
      </c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 t="s">
        <v>35</v>
      </c>
      <c r="AE258" s="18"/>
    </row>
    <row r="259" spans="1:31" s="13" customFormat="1" x14ac:dyDescent="0.25">
      <c r="A259" s="13"/>
      <c r="B259" s="14">
        <v>1</v>
      </c>
      <c r="C259" s="13">
        <v>5001</v>
      </c>
      <c r="D259" s="14" t="s">
        <v>31</v>
      </c>
      <c r="E259" s="14" t="s">
        <v>32</v>
      </c>
      <c r="F259" s="14" t="s">
        <v>34</v>
      </c>
      <c r="G259" s="14" t="s">
        <v>530</v>
      </c>
      <c r="H259" s="14"/>
      <c r="I259" s="14"/>
      <c r="J259" s="13" t="str">
        <f>(C259)&amp;"-"&amp;(D259)&amp;"-"&amp;(E259)&amp;"-"&amp;(F259)&amp;"-"&amp;(G259)</f>
        <v>5001-PM03-BR-BR1-35-24L011</v>
      </c>
      <c r="K259" s="14">
        <f>LEN(J259)</f>
        <v>26</v>
      </c>
      <c r="L259" s="14" t="s">
        <v>531</v>
      </c>
      <c r="M259" s="14">
        <f t="shared" si="13"/>
        <v>27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4" t="s">
        <v>35</v>
      </c>
      <c r="AE259" s="13"/>
    </row>
    <row r="260" spans="1:31" s="15" customFormat="1" x14ac:dyDescent="0.25">
      <c r="A260" s="15"/>
      <c r="B260" s="16">
        <v>2</v>
      </c>
      <c r="C260" s="15"/>
      <c r="D260" s="17"/>
      <c r="E260" s="17"/>
      <c r="F260" s="17"/>
      <c r="G260" s="15"/>
      <c r="H260" s="15" t="s">
        <v>530</v>
      </c>
      <c r="I260" s="15"/>
      <c r="J260" s="15"/>
      <c r="K260" s="15"/>
      <c r="L260" s="15" t="s">
        <v>531</v>
      </c>
      <c r="M260" s="16">
        <f t="shared" si="13"/>
        <v>27</v>
      </c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s="15" customFormat="1" x14ac:dyDescent="0.25">
      <c r="A261" s="15"/>
      <c r="B261" s="16">
        <v>2</v>
      </c>
      <c r="C261" s="15"/>
      <c r="D261" s="17"/>
      <c r="E261" s="17"/>
      <c r="F261" s="17"/>
      <c r="G261" s="15"/>
      <c r="H261" s="15" t="s">
        <v>532</v>
      </c>
      <c r="I261" s="15"/>
      <c r="J261" s="15"/>
      <c r="K261" s="15"/>
      <c r="L261" s="15" t="s">
        <v>533</v>
      </c>
      <c r="M261" s="16">
        <f t="shared" si="13"/>
        <v>32</v>
      </c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s="13" customFormat="1" x14ac:dyDescent="0.25">
      <c r="A262" s="13"/>
      <c r="B262" s="14">
        <v>1</v>
      </c>
      <c r="C262" s="13">
        <v>5001</v>
      </c>
      <c r="D262" s="14" t="s">
        <v>31</v>
      </c>
      <c r="E262" s="14" t="s">
        <v>32</v>
      </c>
      <c r="F262" s="14" t="s">
        <v>34</v>
      </c>
      <c r="G262" s="14" t="s">
        <v>534</v>
      </c>
      <c r="H262" s="14"/>
      <c r="I262" s="14"/>
      <c r="J262" s="13" t="str">
        <f>(C262)&amp;"-"&amp;(D262)&amp;"-"&amp;(E262)&amp;"-"&amp;(F262)&amp;"-"&amp;(G262)</f>
        <v>5001-PM03-BR-BR1-35-24L001</v>
      </c>
      <c r="K262" s="14">
        <f>LEN(J262)</f>
        <v>26</v>
      </c>
      <c r="L262" s="14" t="s">
        <v>535</v>
      </c>
      <c r="M262" s="14">
        <f t="shared" si="13"/>
        <v>21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4" t="s">
        <v>35</v>
      </c>
      <c r="AE262" s="13"/>
    </row>
    <row r="263" spans="1:31" s="15" customFormat="1" x14ac:dyDescent="0.25">
      <c r="A263" s="15"/>
      <c r="B263" s="16">
        <v>2</v>
      </c>
      <c r="C263" s="15"/>
      <c r="D263" s="17"/>
      <c r="E263" s="17"/>
      <c r="F263" s="17"/>
      <c r="G263" s="15"/>
      <c r="H263" s="15" t="s">
        <v>536</v>
      </c>
      <c r="I263" s="15"/>
      <c r="J263" s="15"/>
      <c r="K263" s="15"/>
      <c r="L263" s="15" t="s">
        <v>537</v>
      </c>
      <c r="M263" s="16">
        <f t="shared" si="13"/>
        <v>31</v>
      </c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 t="s">
        <v>35</v>
      </c>
      <c r="AE263" s="15"/>
    </row>
    <row r="264" spans="1:31" s="15" customFormat="1" x14ac:dyDescent="0.25">
      <c r="A264" s="15"/>
      <c r="B264" s="33">
        <v>2</v>
      </c>
      <c r="C264" s="32"/>
      <c r="D264" s="34"/>
      <c r="E264" s="34"/>
      <c r="F264" s="34"/>
      <c r="G264" s="32"/>
      <c r="H264" s="32" t="s">
        <v>538</v>
      </c>
      <c r="I264" s="32"/>
      <c r="J264" s="32"/>
      <c r="K264" s="32"/>
      <c r="L264" s="32" t="s">
        <v>539</v>
      </c>
      <c r="M264" s="16">
        <f t="shared" ref="M264:M342" si="23">LEN(L264)</f>
        <v>24</v>
      </c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 t="s">
        <v>35</v>
      </c>
      <c r="AE264" s="32"/>
    </row>
    <row r="265" spans="1:31" s="15" customFormat="1" x14ac:dyDescent="0.25">
      <c r="A265" s="15"/>
      <c r="B265" s="16">
        <v>2</v>
      </c>
      <c r="C265" s="15"/>
      <c r="D265" s="17"/>
      <c r="E265" s="17"/>
      <c r="F265" s="17"/>
      <c r="G265" s="15"/>
      <c r="H265" s="15" t="s">
        <v>540</v>
      </c>
      <c r="I265" s="15"/>
      <c r="J265" s="15"/>
      <c r="K265" s="15"/>
      <c r="L265" s="15" t="s">
        <v>541</v>
      </c>
      <c r="M265" s="16">
        <f t="shared" si="23"/>
        <v>27</v>
      </c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 t="s">
        <v>35</v>
      </c>
      <c r="AE265" s="15"/>
    </row>
    <row r="266" spans="1:31" s="18" customFormat="1" x14ac:dyDescent="0.25">
      <c r="A266" s="18"/>
      <c r="B266" s="19">
        <v>3</v>
      </c>
      <c r="C266" s="18"/>
      <c r="D266" s="20"/>
      <c r="E266" s="20"/>
      <c r="F266" s="20"/>
      <c r="G266" s="18"/>
      <c r="H266" s="18"/>
      <c r="I266" s="18" t="s">
        <v>542</v>
      </c>
      <c r="J266" s="18"/>
      <c r="K266" s="18"/>
      <c r="L266" s="18" t="s">
        <v>543</v>
      </c>
      <c r="M266" s="19">
        <f t="shared" si="23"/>
        <v>34</v>
      </c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 t="s">
        <v>35</v>
      </c>
      <c r="AE266" s="18"/>
    </row>
    <row r="267" spans="1:31" s="15" customFormat="1" x14ac:dyDescent="0.25">
      <c r="A267" s="15"/>
      <c r="B267" s="16">
        <v>2</v>
      </c>
      <c r="C267" s="15"/>
      <c r="D267" s="17"/>
      <c r="E267" s="17"/>
      <c r="F267" s="17"/>
      <c r="G267" s="32"/>
      <c r="H267" s="32" t="s">
        <v>544</v>
      </c>
      <c r="I267" s="32"/>
      <c r="J267" s="32"/>
      <c r="K267" s="32"/>
      <c r="L267" s="15" t="s">
        <v>545</v>
      </c>
      <c r="M267" s="16">
        <f t="shared" si="23"/>
        <v>27</v>
      </c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 t="s">
        <v>35</v>
      </c>
      <c r="AE267" s="15"/>
    </row>
    <row r="268" spans="1:31" s="18" customFormat="1" x14ac:dyDescent="0.25">
      <c r="A268" s="18"/>
      <c r="B268" s="19">
        <v>3</v>
      </c>
      <c r="C268" s="18"/>
      <c r="D268" s="20"/>
      <c r="E268" s="20"/>
      <c r="F268" s="20"/>
      <c r="G268" s="18"/>
      <c r="H268" s="18"/>
      <c r="I268" s="18" t="s">
        <v>546</v>
      </c>
      <c r="J268" s="18"/>
      <c r="K268" s="18"/>
      <c r="L268" s="18" t="s">
        <v>547</v>
      </c>
      <c r="M268" s="19">
        <f>LEN(L268)</f>
        <v>38</v>
      </c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 t="s">
        <v>35</v>
      </c>
      <c r="AE268" s="18"/>
    </row>
    <row r="269" spans="1:31" s="15" customFormat="1" x14ac:dyDescent="0.25">
      <c r="A269" s="15"/>
      <c r="B269" s="16">
        <v>2</v>
      </c>
      <c r="C269" s="15"/>
      <c r="D269" s="17"/>
      <c r="E269" s="17"/>
      <c r="F269" s="17"/>
      <c r="G269" s="15"/>
      <c r="H269" s="15" t="s">
        <v>548</v>
      </c>
      <c r="I269" s="15"/>
      <c r="J269" s="15"/>
      <c r="K269" s="15"/>
      <c r="L269" s="15" t="s">
        <v>549</v>
      </c>
      <c r="M269" s="16">
        <f t="shared" si="23"/>
        <v>31</v>
      </c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 t="s">
        <v>35</v>
      </c>
      <c r="AE269" s="15"/>
    </row>
    <row r="270" spans="1:31" s="15" customFormat="1" x14ac:dyDescent="0.25">
      <c r="A270" s="15"/>
      <c r="B270" s="16">
        <v>2</v>
      </c>
      <c r="C270" s="15"/>
      <c r="D270" s="17"/>
      <c r="E270" s="17"/>
      <c r="F270" s="17"/>
      <c r="G270" s="32"/>
      <c r="H270" s="32" t="s">
        <v>550</v>
      </c>
      <c r="I270" s="32"/>
      <c r="J270" s="32"/>
      <c r="K270" s="32"/>
      <c r="L270" s="15" t="s">
        <v>551</v>
      </c>
      <c r="M270" s="16">
        <f t="shared" si="23"/>
        <v>27</v>
      </c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 t="s">
        <v>35</v>
      </c>
      <c r="AE270" s="15"/>
    </row>
    <row r="271" spans="1:31" s="18" customFormat="1" x14ac:dyDescent="0.25">
      <c r="A271" s="18"/>
      <c r="B271" s="19">
        <v>3</v>
      </c>
      <c r="C271" s="18"/>
      <c r="D271" s="20"/>
      <c r="E271" s="20"/>
      <c r="F271" s="20"/>
      <c r="G271" s="18"/>
      <c r="H271" s="18"/>
      <c r="I271" s="18" t="s">
        <v>552</v>
      </c>
      <c r="J271" s="18"/>
      <c r="K271" s="18"/>
      <c r="L271" s="18" t="s">
        <v>553</v>
      </c>
      <c r="M271" s="19">
        <f>LEN(L271)</f>
        <v>38</v>
      </c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 t="s">
        <v>35</v>
      </c>
      <c r="AE271" s="18"/>
    </row>
    <row r="272" spans="1:31" s="15" customFormat="1" x14ac:dyDescent="0.25">
      <c r="A272" s="15"/>
      <c r="B272" s="16">
        <v>2</v>
      </c>
      <c r="C272" s="15"/>
      <c r="D272" s="17"/>
      <c r="E272" s="17"/>
      <c r="F272" s="17"/>
      <c r="G272" s="15"/>
      <c r="H272" s="15" t="s">
        <v>554</v>
      </c>
      <c r="I272" s="15"/>
      <c r="J272" s="15"/>
      <c r="K272" s="15"/>
      <c r="L272" s="15" t="s">
        <v>555</v>
      </c>
      <c r="M272" s="16">
        <f t="shared" si="23"/>
        <v>31</v>
      </c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 t="s">
        <v>35</v>
      </c>
      <c r="AE272" s="15"/>
    </row>
    <row r="273" spans="1:31" s="15" customFormat="1" x14ac:dyDescent="0.25">
      <c r="A273" s="15"/>
      <c r="B273" s="16">
        <v>2</v>
      </c>
      <c r="C273" s="15"/>
      <c r="D273" s="17"/>
      <c r="E273" s="17"/>
      <c r="F273" s="17"/>
      <c r="G273" s="15"/>
      <c r="H273" s="15" t="s">
        <v>556</v>
      </c>
      <c r="I273" s="15"/>
      <c r="J273" s="15"/>
      <c r="K273" s="15"/>
      <c r="L273" s="15" t="s">
        <v>557</v>
      </c>
      <c r="M273" s="16">
        <f t="shared" si="23"/>
        <v>27</v>
      </c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 t="s">
        <v>35</v>
      </c>
      <c r="AE273" s="15"/>
    </row>
    <row r="274" spans="1:31" s="18" customFormat="1" x14ac:dyDescent="0.25">
      <c r="A274" s="18"/>
      <c r="B274" s="19">
        <v>3</v>
      </c>
      <c r="C274" s="18"/>
      <c r="D274" s="20"/>
      <c r="E274" s="20"/>
      <c r="F274" s="20"/>
      <c r="G274" s="18"/>
      <c r="H274" s="18"/>
      <c r="I274" s="18" t="s">
        <v>558</v>
      </c>
      <c r="J274" s="18"/>
      <c r="K274" s="18"/>
      <c r="L274" s="18" t="s">
        <v>559</v>
      </c>
      <c r="M274" s="19">
        <f t="shared" si="23"/>
        <v>38</v>
      </c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 t="s">
        <v>35</v>
      </c>
      <c r="AE274" s="18"/>
    </row>
    <row r="275" spans="1:31" s="18" customFormat="1" x14ac:dyDescent="0.25">
      <c r="A275" s="18"/>
      <c r="B275" s="19">
        <v>3</v>
      </c>
      <c r="C275" s="18"/>
      <c r="D275" s="20"/>
      <c r="E275" s="20"/>
      <c r="F275" s="20"/>
      <c r="G275" s="18"/>
      <c r="H275" s="18"/>
      <c r="I275" s="18" t="s">
        <v>560</v>
      </c>
      <c r="J275" s="18"/>
      <c r="K275" s="18"/>
      <c r="L275" s="18" t="s">
        <v>561</v>
      </c>
      <c r="M275" s="19">
        <f t="shared" si="23"/>
        <v>41</v>
      </c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 t="s">
        <v>35</v>
      </c>
      <c r="AE275" s="18"/>
    </row>
    <row r="276" spans="1:31" s="13" customFormat="1" x14ac:dyDescent="0.25">
      <c r="A276" s="13"/>
      <c r="B276" s="14">
        <v>1</v>
      </c>
      <c r="C276" s="13">
        <v>5001</v>
      </c>
      <c r="D276" s="14" t="s">
        <v>31</v>
      </c>
      <c r="E276" s="14" t="s">
        <v>32</v>
      </c>
      <c r="F276" s="14" t="s">
        <v>34</v>
      </c>
      <c r="G276" s="14" t="s">
        <v>562</v>
      </c>
      <c r="H276" s="14"/>
      <c r="I276" s="14"/>
      <c r="J276" s="13" t="str">
        <f>(C276)&amp;"-"&amp;(D276)&amp;"-"&amp;(E276)&amp;"-"&amp;(F276)&amp;"-"&amp;(G276)</f>
        <v>5001-PM03-BR-BR1-35-24P503</v>
      </c>
      <c r="K276" s="14">
        <f>LEN(J276)</f>
        <v>26</v>
      </c>
      <c r="L276" s="14" t="s">
        <v>563</v>
      </c>
      <c r="M276" s="14">
        <f t="shared" si="23"/>
        <v>24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4" t="s">
        <v>35</v>
      </c>
      <c r="AE276" s="13"/>
    </row>
    <row r="277" spans="1:31" s="15" customFormat="1" x14ac:dyDescent="0.25">
      <c r="A277" s="15"/>
      <c r="B277" s="16">
        <v>2</v>
      </c>
      <c r="C277" s="15"/>
      <c r="D277" s="17"/>
      <c r="E277" s="17"/>
      <c r="F277" s="17"/>
      <c r="G277" s="15"/>
      <c r="H277" s="15" t="s">
        <v>562</v>
      </c>
      <c r="I277" s="15"/>
      <c r="J277" s="15"/>
      <c r="K277" s="15"/>
      <c r="L277" s="15" t="s">
        <v>564</v>
      </c>
      <c r="M277" s="16">
        <f t="shared" si="23"/>
        <v>18</v>
      </c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 t="s">
        <v>35</v>
      </c>
      <c r="AE277" s="15"/>
    </row>
    <row r="278" spans="1:31" s="15" customFormat="1" x14ac:dyDescent="0.25">
      <c r="A278" s="15"/>
      <c r="B278" s="16">
        <v>2</v>
      </c>
      <c r="C278" s="15"/>
      <c r="D278" s="17"/>
      <c r="E278" s="17"/>
      <c r="F278" s="17"/>
      <c r="G278" s="15"/>
      <c r="H278" s="15" t="s">
        <v>565</v>
      </c>
      <c r="I278" s="15"/>
      <c r="J278" s="15"/>
      <c r="K278" s="15"/>
      <c r="L278" s="15" t="s">
        <v>566</v>
      </c>
      <c r="M278" s="16">
        <f t="shared" si="23"/>
        <v>30</v>
      </c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 t="s">
        <v>35</v>
      </c>
      <c r="AE278" s="15"/>
    </row>
    <row r="279" spans="1:31" s="15" customFormat="1" x14ac:dyDescent="0.25">
      <c r="A279" s="15"/>
      <c r="B279" s="16">
        <v>2</v>
      </c>
      <c r="C279" s="15"/>
      <c r="D279" s="17"/>
      <c r="E279" s="17"/>
      <c r="F279" s="17"/>
      <c r="G279" s="15"/>
      <c r="H279" s="15" t="s">
        <v>558</v>
      </c>
      <c r="I279" s="15"/>
      <c r="J279" s="15"/>
      <c r="K279" s="15"/>
      <c r="L279" s="15" t="s">
        <v>567</v>
      </c>
      <c r="M279" s="16">
        <f t="shared" si="23"/>
        <v>26</v>
      </c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 t="s">
        <v>35</v>
      </c>
      <c r="AE279" s="15"/>
    </row>
    <row r="280" spans="1:31" s="18" customFormat="1" x14ac:dyDescent="0.25">
      <c r="A280" s="18"/>
      <c r="B280" s="19">
        <v>3</v>
      </c>
      <c r="C280" s="18"/>
      <c r="D280" s="20"/>
      <c r="E280" s="20"/>
      <c r="F280" s="20"/>
      <c r="G280" s="18"/>
      <c r="H280" s="18"/>
      <c r="I280" s="18" t="s">
        <v>556</v>
      </c>
      <c r="J280" s="18"/>
      <c r="K280" s="18"/>
      <c r="L280" s="18" t="s">
        <v>568</v>
      </c>
      <c r="M280" s="19">
        <f t="shared" si="23"/>
        <v>39</v>
      </c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 t="s">
        <v>35</v>
      </c>
      <c r="AE280" s="18"/>
    </row>
    <row r="281" spans="1:31" s="18" customFormat="1" x14ac:dyDescent="0.25">
      <c r="A281" s="18"/>
      <c r="B281" s="19">
        <v>3</v>
      </c>
      <c r="C281" s="18"/>
      <c r="D281" s="20"/>
      <c r="E281" s="20"/>
      <c r="F281" s="20"/>
      <c r="G281" s="18"/>
      <c r="H281" s="18"/>
      <c r="I281" s="18" t="s">
        <v>509</v>
      </c>
      <c r="J281" s="18"/>
      <c r="K281" s="18"/>
      <c r="L281" s="18" t="s">
        <v>569</v>
      </c>
      <c r="M281" s="19">
        <f t="shared" si="23"/>
        <v>39</v>
      </c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 t="s">
        <v>35</v>
      </c>
      <c r="AE281" s="18"/>
    </row>
    <row r="282" spans="1:31" s="18" customFormat="1" x14ac:dyDescent="0.25">
      <c r="A282" s="18"/>
      <c r="B282" s="19">
        <v>3</v>
      </c>
      <c r="C282" s="18"/>
      <c r="D282" s="20"/>
      <c r="E282" s="20"/>
      <c r="F282" s="20"/>
      <c r="G282" s="18"/>
      <c r="H282" s="18"/>
      <c r="I282" s="18" t="s">
        <v>570</v>
      </c>
      <c r="J282" s="18"/>
      <c r="K282" s="18"/>
      <c r="L282" s="18" t="s">
        <v>571</v>
      </c>
      <c r="M282" s="19">
        <f t="shared" si="23"/>
        <v>37</v>
      </c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 t="s">
        <v>35</v>
      </c>
      <c r="AE282" s="18"/>
    </row>
    <row r="283" spans="1:31" s="18" customFormat="1" x14ac:dyDescent="0.25">
      <c r="A283" s="18"/>
      <c r="B283" s="19">
        <v>3</v>
      </c>
      <c r="C283" s="18"/>
      <c r="D283" s="20"/>
      <c r="E283" s="20"/>
      <c r="F283" s="20"/>
      <c r="G283" s="18"/>
      <c r="H283" s="18"/>
      <c r="I283" s="18" t="s">
        <v>572</v>
      </c>
      <c r="J283" s="18"/>
      <c r="K283" s="18"/>
      <c r="L283" s="18" t="s">
        <v>573</v>
      </c>
      <c r="M283" s="19">
        <f t="shared" si="23"/>
        <v>34</v>
      </c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 t="s">
        <v>35</v>
      </c>
      <c r="AE283" s="18"/>
    </row>
    <row r="284" spans="1:31" s="18" customFormat="1" x14ac:dyDescent="0.25">
      <c r="A284" s="18"/>
      <c r="B284" s="19">
        <v>3</v>
      </c>
      <c r="C284" s="18"/>
      <c r="D284" s="20"/>
      <c r="E284" s="20"/>
      <c r="F284" s="20"/>
      <c r="G284" s="18"/>
      <c r="H284" s="18"/>
      <c r="I284" s="18" t="s">
        <v>574</v>
      </c>
      <c r="J284" s="18"/>
      <c r="K284" s="18"/>
      <c r="L284" s="18" t="s">
        <v>575</v>
      </c>
      <c r="M284" s="19">
        <f t="shared" si="23"/>
        <v>36</v>
      </c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 t="s">
        <v>35</v>
      </c>
      <c r="AE284" s="18"/>
    </row>
    <row r="285" spans="1:31" s="18" customFormat="1" x14ac:dyDescent="0.25">
      <c r="A285" s="18"/>
      <c r="B285" s="19">
        <v>3</v>
      </c>
      <c r="C285" s="18"/>
      <c r="D285" s="20"/>
      <c r="E285" s="20"/>
      <c r="F285" s="20"/>
      <c r="G285" s="18"/>
      <c r="H285" s="18"/>
      <c r="I285" s="18" t="s">
        <v>576</v>
      </c>
      <c r="J285" s="18"/>
      <c r="K285" s="18"/>
      <c r="L285" s="18" t="s">
        <v>577</v>
      </c>
      <c r="M285" s="19">
        <f t="shared" si="23"/>
        <v>31</v>
      </c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 t="s">
        <v>35</v>
      </c>
      <c r="AE285" s="18"/>
    </row>
    <row r="286" spans="1:31" s="18" customFormat="1" x14ac:dyDescent="0.25">
      <c r="A286" s="18"/>
      <c r="B286" s="19">
        <v>3</v>
      </c>
      <c r="C286" s="18"/>
      <c r="D286" s="20"/>
      <c r="E286" s="20"/>
      <c r="F286" s="20"/>
      <c r="G286" s="18"/>
      <c r="H286" s="18"/>
      <c r="I286" s="18" t="s">
        <v>578</v>
      </c>
      <c r="J286" s="18"/>
      <c r="K286" s="18"/>
      <c r="L286" s="18" t="s">
        <v>579</v>
      </c>
      <c r="M286" s="19">
        <f t="shared" si="23"/>
        <v>44</v>
      </c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 t="s">
        <v>35</v>
      </c>
      <c r="AE286" s="18"/>
    </row>
    <row r="287" spans="1:31" s="18" customFormat="1" x14ac:dyDescent="0.25">
      <c r="A287" s="18"/>
      <c r="B287" s="19">
        <v>3</v>
      </c>
      <c r="C287" s="18"/>
      <c r="D287" s="20"/>
      <c r="E287" s="20"/>
      <c r="F287" s="20"/>
      <c r="G287" s="18"/>
      <c r="H287" s="18"/>
      <c r="I287" s="18" t="s">
        <v>580</v>
      </c>
      <c r="J287" s="18"/>
      <c r="K287" s="18"/>
      <c r="L287" s="18" t="s">
        <v>581</v>
      </c>
      <c r="M287" s="19">
        <f t="shared" si="23"/>
        <v>37</v>
      </c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 t="s">
        <v>35</v>
      </c>
      <c r="AE287" s="18"/>
    </row>
    <row r="288" spans="1:31" s="15" customFormat="1" x14ac:dyDescent="0.25">
      <c r="A288" s="15"/>
      <c r="B288" s="16">
        <v>2</v>
      </c>
      <c r="C288" s="15"/>
      <c r="D288" s="17"/>
      <c r="E288" s="17"/>
      <c r="F288" s="17"/>
      <c r="G288" s="15"/>
      <c r="H288" s="15" t="s">
        <v>582</v>
      </c>
      <c r="I288" s="15"/>
      <c r="J288" s="15"/>
      <c r="K288" s="15"/>
      <c r="L288" s="15" t="s">
        <v>583</v>
      </c>
      <c r="M288" s="16">
        <f t="shared" si="23"/>
        <v>24</v>
      </c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 t="s">
        <v>35</v>
      </c>
      <c r="AE288" s="15"/>
    </row>
    <row r="289" spans="1:31" s="15" customFormat="1" x14ac:dyDescent="0.25">
      <c r="A289" s="15"/>
      <c r="B289" s="16">
        <v>2</v>
      </c>
      <c r="C289" s="15"/>
      <c r="D289" s="17"/>
      <c r="E289" s="17"/>
      <c r="F289" s="17"/>
      <c r="G289" s="15"/>
      <c r="H289" s="15" t="s">
        <v>584</v>
      </c>
      <c r="I289" s="15"/>
      <c r="J289" s="15"/>
      <c r="K289" s="15"/>
      <c r="L289" s="15" t="s">
        <v>585</v>
      </c>
      <c r="M289" s="16">
        <f t="shared" si="23"/>
        <v>49</v>
      </c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 t="s">
        <v>35</v>
      </c>
      <c r="AE289" s="15"/>
    </row>
    <row r="290" spans="1:31" s="18" customFormat="1" x14ac:dyDescent="0.25">
      <c r="A290" s="18"/>
      <c r="B290" s="19">
        <v>3</v>
      </c>
      <c r="C290" s="18"/>
      <c r="D290" s="20"/>
      <c r="E290" s="20"/>
      <c r="F290" s="20"/>
      <c r="G290" s="18"/>
      <c r="H290" s="18"/>
      <c r="I290" s="18" t="s">
        <v>586</v>
      </c>
      <c r="J290" s="18"/>
      <c r="K290" s="18"/>
      <c r="L290" s="18" t="s">
        <v>587</v>
      </c>
      <c r="M290" s="19">
        <f t="shared" si="23"/>
        <v>38</v>
      </c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 t="s">
        <v>35</v>
      </c>
      <c r="AE290" s="18"/>
    </row>
    <row r="291" spans="1:31" s="15" customFormat="1" x14ac:dyDescent="0.25">
      <c r="A291" s="15"/>
      <c r="B291" s="16">
        <v>2</v>
      </c>
      <c r="C291" s="15"/>
      <c r="D291" s="17"/>
      <c r="E291" s="17"/>
      <c r="F291" s="17"/>
      <c r="G291" s="15"/>
      <c r="H291" s="15" t="s">
        <v>588</v>
      </c>
      <c r="I291" s="15"/>
      <c r="J291" s="15"/>
      <c r="K291" s="15"/>
      <c r="L291" s="15" t="s">
        <v>589</v>
      </c>
      <c r="M291" s="16">
        <f t="shared" si="23"/>
        <v>40</v>
      </c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 t="s">
        <v>35</v>
      </c>
      <c r="AE291" s="15"/>
    </row>
    <row r="292" spans="1:31" s="15" customFormat="1" x14ac:dyDescent="0.25">
      <c r="A292" s="15"/>
      <c r="B292" s="16">
        <v>2</v>
      </c>
      <c r="C292" s="15"/>
      <c r="D292" s="17"/>
      <c r="E292" s="17"/>
      <c r="F292" s="17"/>
      <c r="G292" s="15"/>
      <c r="H292" s="15" t="s">
        <v>590</v>
      </c>
      <c r="I292" s="15"/>
      <c r="J292" s="15"/>
      <c r="K292" s="15"/>
      <c r="L292" s="15" t="s">
        <v>591</v>
      </c>
      <c r="M292" s="16">
        <f t="shared" si="23"/>
        <v>27</v>
      </c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 t="s">
        <v>35</v>
      </c>
      <c r="AE292" s="15"/>
    </row>
    <row r="293" spans="1:31" s="13" customFormat="1" x14ac:dyDescent="0.25">
      <c r="A293" s="13"/>
      <c r="B293" s="14">
        <v>1</v>
      </c>
      <c r="C293" s="13">
        <v>5001</v>
      </c>
      <c r="D293" s="14" t="s">
        <v>31</v>
      </c>
      <c r="E293" s="14" t="s">
        <v>32</v>
      </c>
      <c r="F293" s="14" t="s">
        <v>34</v>
      </c>
      <c r="G293" s="14" t="s">
        <v>592</v>
      </c>
      <c r="H293" s="14"/>
      <c r="I293" s="14"/>
      <c r="J293" s="13" t="str">
        <f>(C293)&amp;"-"&amp;(D293)&amp;"-"&amp;(E293)&amp;"-"&amp;(F293)&amp;"-"&amp;(G293)</f>
        <v>5001-PM03-BR-BR1-35-24P504</v>
      </c>
      <c r="K293" s="14">
        <f>LEN(J293)</f>
        <v>26</v>
      </c>
      <c r="L293" s="14" t="s">
        <v>593</v>
      </c>
      <c r="M293" s="14">
        <f t="shared" si="23"/>
        <v>28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4" t="s">
        <v>35</v>
      </c>
      <c r="AE293" s="13"/>
    </row>
    <row r="294" spans="1:31" s="15" customFormat="1" x14ac:dyDescent="0.25">
      <c r="A294" s="15"/>
      <c r="B294" s="16">
        <v>2</v>
      </c>
      <c r="C294" s="15"/>
      <c r="D294" s="17"/>
      <c r="E294" s="17"/>
      <c r="F294" s="17"/>
      <c r="G294" s="15"/>
      <c r="H294" s="15" t="s">
        <v>592</v>
      </c>
      <c r="I294" s="15"/>
      <c r="J294" s="15"/>
      <c r="K294" s="15"/>
      <c r="L294" s="15" t="s">
        <v>594</v>
      </c>
      <c r="M294" s="16">
        <f t="shared" si="23"/>
        <v>18</v>
      </c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 t="s">
        <v>35</v>
      </c>
      <c r="AE294" s="15"/>
    </row>
    <row r="295" spans="1:31" s="18" customFormat="1" x14ac:dyDescent="0.25">
      <c r="A295" s="18"/>
      <c r="B295" s="19">
        <v>3</v>
      </c>
      <c r="C295" s="18"/>
      <c r="D295" s="20"/>
      <c r="E295" s="20"/>
      <c r="F295" s="20"/>
      <c r="G295" s="18"/>
      <c r="H295" s="18"/>
      <c r="I295" s="18" t="s">
        <v>595</v>
      </c>
      <c r="J295" s="18"/>
      <c r="K295" s="18"/>
      <c r="L295" s="18" t="s">
        <v>596</v>
      </c>
      <c r="M295" s="19">
        <f t="shared" si="23"/>
        <v>34</v>
      </c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 t="s">
        <v>35</v>
      </c>
      <c r="AE295" s="18"/>
    </row>
    <row r="296" spans="1:31" s="15" customFormat="1" x14ac:dyDescent="0.25">
      <c r="A296" s="15"/>
      <c r="B296" s="16">
        <v>2</v>
      </c>
      <c r="C296" s="15"/>
      <c r="D296" s="17"/>
      <c r="E296" s="17"/>
      <c r="F296" s="17"/>
      <c r="G296" s="15"/>
      <c r="H296" s="15" t="s">
        <v>418</v>
      </c>
      <c r="I296" s="15"/>
      <c r="J296" s="15"/>
      <c r="K296" s="15"/>
      <c r="L296" s="15" t="s">
        <v>597</v>
      </c>
      <c r="M296" s="16">
        <f t="shared" si="23"/>
        <v>26</v>
      </c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 t="s">
        <v>35</v>
      </c>
      <c r="AE296" s="15"/>
    </row>
    <row r="297" spans="1:31" s="18" customFormat="1" x14ac:dyDescent="0.25">
      <c r="A297" s="18"/>
      <c r="B297" s="19">
        <v>3</v>
      </c>
      <c r="C297" s="18"/>
      <c r="D297" s="20"/>
      <c r="E297" s="20"/>
      <c r="F297" s="20"/>
      <c r="G297" s="18"/>
      <c r="H297" s="18"/>
      <c r="I297" s="18" t="s">
        <v>598</v>
      </c>
      <c r="J297" s="18"/>
      <c r="K297" s="18"/>
      <c r="L297" s="18" t="s">
        <v>599</v>
      </c>
      <c r="M297" s="19">
        <f t="shared" si="23"/>
        <v>30</v>
      </c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 t="s">
        <v>35</v>
      </c>
      <c r="AE297" s="18"/>
    </row>
    <row r="298" spans="1:31" s="18" customFormat="1" x14ac:dyDescent="0.25">
      <c r="A298" s="18"/>
      <c r="B298" s="19">
        <v>3</v>
      </c>
      <c r="C298" s="18"/>
      <c r="D298" s="20"/>
      <c r="E298" s="20"/>
      <c r="F298" s="20"/>
      <c r="G298" s="18"/>
      <c r="H298" s="18"/>
      <c r="I298" s="18" t="s">
        <v>600</v>
      </c>
      <c r="J298" s="18"/>
      <c r="K298" s="18"/>
      <c r="L298" s="18" t="s">
        <v>601</v>
      </c>
      <c r="M298" s="19">
        <f t="shared" si="23"/>
        <v>29</v>
      </c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 t="s">
        <v>35</v>
      </c>
      <c r="AE298" s="18"/>
    </row>
    <row r="299" spans="1:31" s="13" customFormat="1" x14ac:dyDescent="0.25">
      <c r="A299" s="13"/>
      <c r="B299" s="14">
        <v>1</v>
      </c>
      <c r="C299" s="13">
        <v>5001</v>
      </c>
      <c r="D299" s="14" t="s">
        <v>31</v>
      </c>
      <c r="E299" s="14" t="s">
        <v>32</v>
      </c>
      <c r="F299" s="14" t="s">
        <v>34</v>
      </c>
      <c r="G299" s="35" t="s">
        <v>602</v>
      </c>
      <c r="H299" s="35"/>
      <c r="I299" s="35"/>
      <c r="J299" s="13" t="str">
        <f t="shared" ref="J299:J309" si="24">(C299)&amp;"-"&amp;(D299)&amp;"-"&amp;(E299)&amp;"-"&amp;(F299)&amp;"-"&amp;(G299)</f>
        <v>5001-PM03-BR-BR1-35-24KJ-589</v>
      </c>
      <c r="K299" s="14">
        <f t="shared" ref="K299:K309" si="25">LEN(J299)</f>
        <v>28</v>
      </c>
      <c r="L299" s="35" t="s">
        <v>603</v>
      </c>
      <c r="M299" s="14">
        <f t="shared" si="23"/>
        <v>31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36" t="s">
        <v>35</v>
      </c>
      <c r="AE299" s="14"/>
    </row>
    <row r="300" spans="1:31" s="13" customFormat="1" x14ac:dyDescent="0.25">
      <c r="A300" s="13"/>
      <c r="B300" s="14">
        <v>1</v>
      </c>
      <c r="C300" s="13">
        <v>5001</v>
      </c>
      <c r="D300" s="14" t="s">
        <v>31</v>
      </c>
      <c r="E300" s="14" t="s">
        <v>32</v>
      </c>
      <c r="F300" s="14" t="s">
        <v>34</v>
      </c>
      <c r="G300" s="35" t="s">
        <v>604</v>
      </c>
      <c r="H300" s="35"/>
      <c r="I300" s="35"/>
      <c r="J300" s="13" t="str">
        <f t="shared" si="24"/>
        <v>5001-PM03-BR-BR1-35-24KJ-590</v>
      </c>
      <c r="K300" s="14">
        <f t="shared" si="25"/>
        <v>28</v>
      </c>
      <c r="L300" s="35" t="s">
        <v>605</v>
      </c>
      <c r="M300" s="14">
        <f t="shared" si="23"/>
        <v>29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36" t="s">
        <v>35</v>
      </c>
      <c r="AE300" s="14"/>
    </row>
    <row r="301" spans="1:31" s="13" customFormat="1" x14ac:dyDescent="0.25">
      <c r="A301" s="13"/>
      <c r="B301" s="14">
        <v>1</v>
      </c>
      <c r="C301" s="13">
        <v>5001</v>
      </c>
      <c r="D301" s="14" t="s">
        <v>31</v>
      </c>
      <c r="E301" s="14" t="s">
        <v>32</v>
      </c>
      <c r="F301" s="14" t="s">
        <v>34</v>
      </c>
      <c r="G301" s="35" t="s">
        <v>606</v>
      </c>
      <c r="H301" s="35"/>
      <c r="I301" s="35"/>
      <c r="J301" s="13" t="str">
        <f t="shared" si="24"/>
        <v>5001-PM03-BR-BR1-35-24XS-588</v>
      </c>
      <c r="K301" s="14">
        <f t="shared" si="25"/>
        <v>28</v>
      </c>
      <c r="L301" s="35" t="s">
        <v>607</v>
      </c>
      <c r="M301" s="14">
        <f t="shared" si="23"/>
        <v>35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36" t="s">
        <v>35</v>
      </c>
      <c r="AE301" s="14"/>
    </row>
    <row r="302" spans="1:31" s="13" customFormat="1" x14ac:dyDescent="0.25">
      <c r="A302" s="13"/>
      <c r="B302" s="14">
        <v>1</v>
      </c>
      <c r="C302" s="13">
        <v>5001</v>
      </c>
      <c r="D302" s="14" t="s">
        <v>31</v>
      </c>
      <c r="E302" s="14" t="s">
        <v>32</v>
      </c>
      <c r="F302" s="14" t="s">
        <v>34</v>
      </c>
      <c r="G302" s="35" t="s">
        <v>608</v>
      </c>
      <c r="H302" s="35"/>
      <c r="I302" s="35"/>
      <c r="J302" s="13" t="str">
        <f t="shared" si="24"/>
        <v>5001-PM03-BR-BR1-35-24HS-585</v>
      </c>
      <c r="K302" s="14">
        <f t="shared" si="25"/>
        <v>28</v>
      </c>
      <c r="L302" s="35" t="s">
        <v>609</v>
      </c>
      <c r="M302" s="14">
        <f t="shared" si="23"/>
        <v>36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36" t="s">
        <v>35</v>
      </c>
      <c r="AE302" s="14"/>
    </row>
    <row r="303" spans="1:31" s="13" customFormat="1" x14ac:dyDescent="0.25">
      <c r="A303" s="13"/>
      <c r="B303" s="14">
        <v>1</v>
      </c>
      <c r="C303" s="13">
        <v>5001</v>
      </c>
      <c r="D303" s="14" t="s">
        <v>31</v>
      </c>
      <c r="E303" s="14" t="s">
        <v>32</v>
      </c>
      <c r="F303" s="14" t="s">
        <v>34</v>
      </c>
      <c r="G303" s="35" t="s">
        <v>610</v>
      </c>
      <c r="H303" s="35"/>
      <c r="I303" s="35"/>
      <c r="J303" s="13" t="str">
        <f t="shared" si="24"/>
        <v>5001-PM03-BR-BR1-35-24HS-580</v>
      </c>
      <c r="K303" s="14">
        <f t="shared" si="25"/>
        <v>28</v>
      </c>
      <c r="L303" s="35" t="s">
        <v>611</v>
      </c>
      <c r="M303" s="14">
        <f t="shared" si="23"/>
        <v>34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36" t="s">
        <v>35</v>
      </c>
      <c r="AE303" s="14"/>
    </row>
    <row r="304" spans="1:31" s="13" customFormat="1" x14ac:dyDescent="0.25">
      <c r="A304" s="13"/>
      <c r="B304" s="14">
        <v>1</v>
      </c>
      <c r="C304" s="13">
        <v>5001</v>
      </c>
      <c r="D304" s="14" t="s">
        <v>31</v>
      </c>
      <c r="E304" s="14" t="s">
        <v>32</v>
      </c>
      <c r="F304" s="14" t="s">
        <v>34</v>
      </c>
      <c r="G304" s="35" t="s">
        <v>612</v>
      </c>
      <c r="H304" s="35"/>
      <c r="I304" s="35"/>
      <c r="J304" s="13" t="str">
        <f t="shared" si="24"/>
        <v>5001-PM03-BR-BR1-35-24HI-580</v>
      </c>
      <c r="K304" s="14">
        <f t="shared" si="25"/>
        <v>28</v>
      </c>
      <c r="L304" s="35" t="s">
        <v>613</v>
      </c>
      <c r="M304" s="14">
        <f t="shared" si="23"/>
        <v>34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36" t="s">
        <v>35</v>
      </c>
      <c r="AE304" s="14"/>
    </row>
    <row r="305" spans="1:31" s="13" customFormat="1" x14ac:dyDescent="0.25">
      <c r="A305" s="13"/>
      <c r="B305" s="14">
        <v>1</v>
      </c>
      <c r="C305" s="13">
        <v>5001</v>
      </c>
      <c r="D305" s="14" t="s">
        <v>31</v>
      </c>
      <c r="E305" s="14" t="s">
        <v>32</v>
      </c>
      <c r="F305" s="14" t="s">
        <v>34</v>
      </c>
      <c r="G305" s="35" t="s">
        <v>614</v>
      </c>
      <c r="H305" s="35"/>
      <c r="I305" s="35"/>
      <c r="J305" s="13" t="str">
        <f t="shared" si="24"/>
        <v>5001-PM03-BR-BR1-35-24HS-583</v>
      </c>
      <c r="K305" s="14">
        <f t="shared" si="25"/>
        <v>28</v>
      </c>
      <c r="L305" s="35" t="s">
        <v>615</v>
      </c>
      <c r="M305" s="14">
        <f t="shared" si="23"/>
        <v>34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36" t="s">
        <v>35</v>
      </c>
      <c r="AE305" s="14"/>
    </row>
    <row r="306" spans="1:31" s="13" customFormat="1" x14ac:dyDescent="0.25">
      <c r="A306" s="13"/>
      <c r="B306" s="14">
        <v>1</v>
      </c>
      <c r="C306" s="13">
        <v>5001</v>
      </c>
      <c r="D306" s="14" t="s">
        <v>31</v>
      </c>
      <c r="E306" s="14" t="s">
        <v>32</v>
      </c>
      <c r="F306" s="14" t="s">
        <v>34</v>
      </c>
      <c r="G306" s="35" t="s">
        <v>616</v>
      </c>
      <c r="H306" s="35"/>
      <c r="I306" s="35"/>
      <c r="J306" s="13" t="str">
        <f t="shared" si="24"/>
        <v>5001-PM03-BR-BR1-35-24HI-583</v>
      </c>
      <c r="K306" s="14">
        <f t="shared" si="25"/>
        <v>28</v>
      </c>
      <c r="L306" s="35" t="s">
        <v>617</v>
      </c>
      <c r="M306" s="14">
        <f t="shared" si="23"/>
        <v>34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36" t="s">
        <v>35</v>
      </c>
      <c r="AE306" s="14"/>
    </row>
    <row r="307" spans="1:31" s="13" customFormat="1" x14ac:dyDescent="0.25">
      <c r="A307" s="13"/>
      <c r="B307" s="14">
        <v>1</v>
      </c>
      <c r="C307" s="13">
        <v>5001</v>
      </c>
      <c r="D307" s="14" t="s">
        <v>31</v>
      </c>
      <c r="E307" s="14" t="s">
        <v>32</v>
      </c>
      <c r="F307" s="14" t="s">
        <v>34</v>
      </c>
      <c r="G307" s="35" t="s">
        <v>618</v>
      </c>
      <c r="H307" s="35"/>
      <c r="I307" s="35"/>
      <c r="J307" s="13" t="str">
        <f t="shared" si="24"/>
        <v>5001-PM03-BR-BR1-35-24HS-654</v>
      </c>
      <c r="K307" s="14">
        <f t="shared" si="25"/>
        <v>28</v>
      </c>
      <c r="L307" s="35" t="s">
        <v>619</v>
      </c>
      <c r="M307" s="14">
        <f t="shared" si="23"/>
        <v>34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36" t="s">
        <v>35</v>
      </c>
      <c r="AE307" s="14"/>
    </row>
    <row r="308" spans="1:31" s="13" customFormat="1" x14ac:dyDescent="0.25">
      <c r="A308" s="13"/>
      <c r="B308" s="14">
        <v>1</v>
      </c>
      <c r="C308" s="13">
        <v>5001</v>
      </c>
      <c r="D308" s="14" t="s">
        <v>31</v>
      </c>
      <c r="E308" s="14" t="s">
        <v>32</v>
      </c>
      <c r="F308" s="14" t="s">
        <v>34</v>
      </c>
      <c r="G308" s="35" t="s">
        <v>620</v>
      </c>
      <c r="H308" s="35"/>
      <c r="I308" s="35"/>
      <c r="J308" s="13" t="str">
        <f t="shared" si="24"/>
        <v>5001-PM03-BR-BR1-35-24HI-654</v>
      </c>
      <c r="K308" s="14">
        <f t="shared" si="25"/>
        <v>28</v>
      </c>
      <c r="L308" s="35" t="s">
        <v>621</v>
      </c>
      <c r="M308" s="14">
        <f t="shared" si="23"/>
        <v>34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36" t="s">
        <v>35</v>
      </c>
      <c r="AE308" s="14"/>
    </row>
    <row r="309" spans="1:31" s="13" customFormat="1" x14ac:dyDescent="0.25">
      <c r="A309" s="13"/>
      <c r="B309" s="14">
        <v>1</v>
      </c>
      <c r="C309" s="13">
        <v>5001</v>
      </c>
      <c r="D309" s="14" t="s">
        <v>31</v>
      </c>
      <c r="E309" s="14" t="s">
        <v>32</v>
      </c>
      <c r="F309" s="14" t="s">
        <v>34</v>
      </c>
      <c r="G309" s="35" t="s">
        <v>622</v>
      </c>
      <c r="H309" s="35"/>
      <c r="I309" s="35"/>
      <c r="J309" s="13" t="str">
        <f t="shared" si="24"/>
        <v>5001-PM03-BR-BR1-35-24T601</v>
      </c>
      <c r="K309" s="14">
        <f t="shared" si="25"/>
        <v>26</v>
      </c>
      <c r="L309" s="35" t="s">
        <v>623</v>
      </c>
      <c r="M309" s="14">
        <f t="shared" si="23"/>
        <v>19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36" t="s">
        <v>35</v>
      </c>
      <c r="AE309" s="14"/>
    </row>
    <row r="310" spans="1:31" s="15" customFormat="1" x14ac:dyDescent="0.25">
      <c r="A310" s="15"/>
      <c r="B310" s="16">
        <v>2</v>
      </c>
      <c r="C310" s="15"/>
      <c r="D310" s="17"/>
      <c r="E310" s="17"/>
      <c r="F310" s="17"/>
      <c r="G310" s="37"/>
      <c r="H310" s="37" t="s">
        <v>431</v>
      </c>
      <c r="I310" s="37"/>
      <c r="J310" s="38"/>
      <c r="K310" s="38"/>
      <c r="L310" s="22" t="s">
        <v>624</v>
      </c>
      <c r="M310" s="16">
        <f t="shared" si="23"/>
        <v>31</v>
      </c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37" t="s">
        <v>35</v>
      </c>
      <c r="AE310" s="16"/>
    </row>
    <row r="311" spans="1:31" s="15" customFormat="1" x14ac:dyDescent="0.25">
      <c r="A311" s="15"/>
      <c r="B311" s="16">
        <v>2</v>
      </c>
      <c r="C311" s="15"/>
      <c r="D311" s="17"/>
      <c r="E311" s="17"/>
      <c r="F311" s="17"/>
      <c r="G311" s="37"/>
      <c r="H311" s="37" t="s">
        <v>625</v>
      </c>
      <c r="I311" s="37"/>
      <c r="J311" s="38"/>
      <c r="K311" s="38"/>
      <c r="L311" s="22" t="s">
        <v>626</v>
      </c>
      <c r="M311" s="16">
        <f t="shared" si="23"/>
        <v>26</v>
      </c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37" t="s">
        <v>35</v>
      </c>
      <c r="AE311" s="16"/>
    </row>
    <row r="312" spans="1:31" s="18" customFormat="1" x14ac:dyDescent="0.25">
      <c r="A312" s="18"/>
      <c r="B312" s="19">
        <v>3</v>
      </c>
      <c r="C312" s="18"/>
      <c r="D312" s="20"/>
      <c r="E312" s="20"/>
      <c r="F312" s="20"/>
      <c r="G312" s="39"/>
      <c r="H312" s="39"/>
      <c r="I312" s="39" t="s">
        <v>413</v>
      </c>
      <c r="J312" s="39"/>
      <c r="K312" s="39"/>
      <c r="L312" s="40" t="s">
        <v>627</v>
      </c>
      <c r="M312" s="19">
        <f t="shared" si="23"/>
        <v>36</v>
      </c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41" t="s">
        <v>35</v>
      </c>
      <c r="AE312" s="41"/>
    </row>
    <row r="313" spans="1:31" s="15" customFormat="1" x14ac:dyDescent="0.25">
      <c r="A313" s="15"/>
      <c r="B313" s="16">
        <v>2</v>
      </c>
      <c r="C313" s="15"/>
      <c r="D313" s="17"/>
      <c r="E313" s="17"/>
      <c r="F313" s="17"/>
      <c r="G313" s="22"/>
      <c r="H313" s="22" t="s">
        <v>628</v>
      </c>
      <c r="I313" s="22"/>
      <c r="J313" s="22"/>
      <c r="K313" s="22"/>
      <c r="L313" s="22" t="s">
        <v>629</v>
      </c>
      <c r="M313" s="16">
        <f t="shared" si="23"/>
        <v>25</v>
      </c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37" t="s">
        <v>35</v>
      </c>
      <c r="AE313" s="16"/>
    </row>
    <row r="314" spans="1:31" s="15" customFormat="1" x14ac:dyDescent="0.25">
      <c r="A314" s="15"/>
      <c r="B314" s="16">
        <v>2</v>
      </c>
      <c r="C314" s="15"/>
      <c r="D314" s="17"/>
      <c r="E314" s="17"/>
      <c r="F314" s="17"/>
      <c r="G314" s="22"/>
      <c r="H314" s="22" t="s">
        <v>630</v>
      </c>
      <c r="I314" s="15"/>
      <c r="J314" s="22"/>
      <c r="K314" s="22"/>
      <c r="L314" s="22" t="s">
        <v>631</v>
      </c>
      <c r="M314" s="16">
        <f t="shared" si="23"/>
        <v>31</v>
      </c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37" t="s">
        <v>35</v>
      </c>
      <c r="AE314" s="16"/>
    </row>
    <row r="315" spans="1:31" s="15" customFormat="1" x14ac:dyDescent="0.25">
      <c r="A315" s="15"/>
      <c r="B315" s="16">
        <v>2</v>
      </c>
      <c r="C315" s="15"/>
      <c r="D315" s="17"/>
      <c r="E315" s="17"/>
      <c r="F315" s="17"/>
      <c r="G315" s="22"/>
      <c r="H315" s="22" t="s">
        <v>632</v>
      </c>
      <c r="I315" s="22"/>
      <c r="J315" s="22"/>
      <c r="K315" s="22"/>
      <c r="L315" s="22" t="s">
        <v>633</v>
      </c>
      <c r="M315" s="16">
        <f t="shared" si="23"/>
        <v>25</v>
      </c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37" t="s">
        <v>35</v>
      </c>
      <c r="AE315" s="16"/>
    </row>
    <row r="316" spans="1:31" s="15" customFormat="1" x14ac:dyDescent="0.25">
      <c r="A316" s="15"/>
      <c r="B316" s="16">
        <v>2</v>
      </c>
      <c r="C316" s="15"/>
      <c r="D316" s="17"/>
      <c r="E316" s="17"/>
      <c r="F316" s="17"/>
      <c r="G316" s="22"/>
      <c r="H316" s="22" t="s">
        <v>634</v>
      </c>
      <c r="I316" s="15"/>
      <c r="J316" s="22"/>
      <c r="K316" s="22"/>
      <c r="L316" s="22" t="s">
        <v>635</v>
      </c>
      <c r="M316" s="16">
        <f t="shared" si="23"/>
        <v>31</v>
      </c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37" t="s">
        <v>35</v>
      </c>
      <c r="AE316" s="16"/>
    </row>
    <row r="317" spans="1:31" s="15" customFormat="1" x14ac:dyDescent="0.25">
      <c r="A317" s="15"/>
      <c r="B317" s="16">
        <v>2</v>
      </c>
      <c r="C317" s="15"/>
      <c r="D317" s="17"/>
      <c r="E317" s="17"/>
      <c r="F317" s="17"/>
      <c r="G317" s="37"/>
      <c r="H317" s="37" t="s">
        <v>636</v>
      </c>
      <c r="I317" s="37"/>
      <c r="J317" s="38"/>
      <c r="K317" s="38"/>
      <c r="L317" s="16" t="s">
        <v>637</v>
      </c>
      <c r="M317" s="16">
        <f t="shared" si="23"/>
        <v>30</v>
      </c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37" t="s">
        <v>35</v>
      </c>
      <c r="AE317" s="16"/>
    </row>
    <row r="318" spans="1:31" s="18" customFormat="1" x14ac:dyDescent="0.25">
      <c r="A318" s="18"/>
      <c r="B318" s="19">
        <v>3</v>
      </c>
      <c r="C318" s="18"/>
      <c r="D318" s="20"/>
      <c r="E318" s="20"/>
      <c r="F318" s="20"/>
      <c r="G318" s="39"/>
      <c r="H318" s="39"/>
      <c r="I318" s="39" t="s">
        <v>638</v>
      </c>
      <c r="J318" s="39"/>
      <c r="K318" s="39"/>
      <c r="L318" s="19" t="s">
        <v>639</v>
      </c>
      <c r="M318" s="19">
        <f t="shared" si="23"/>
        <v>36</v>
      </c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41" t="s">
        <v>35</v>
      </c>
      <c r="AE318" s="41"/>
    </row>
    <row r="319" spans="1:31" s="18" customFormat="1" x14ac:dyDescent="0.25">
      <c r="A319" s="18"/>
      <c r="B319" s="19">
        <v>3</v>
      </c>
      <c r="C319" s="18"/>
      <c r="D319" s="20"/>
      <c r="E319" s="20"/>
      <c r="F319" s="20"/>
      <c r="G319" s="18"/>
      <c r="H319" s="18"/>
      <c r="I319" s="18" t="s">
        <v>640</v>
      </c>
      <c r="J319" s="18"/>
      <c r="K319" s="18"/>
      <c r="L319" s="19" t="s">
        <v>641</v>
      </c>
      <c r="M319" s="19">
        <f t="shared" si="23"/>
        <v>34</v>
      </c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41" t="s">
        <v>35</v>
      </c>
      <c r="AE319" s="41"/>
    </row>
    <row r="320" spans="1:31" s="18" customFormat="1" x14ac:dyDescent="0.25">
      <c r="A320" s="18"/>
      <c r="B320" s="19">
        <v>3</v>
      </c>
      <c r="C320" s="18"/>
      <c r="D320" s="20"/>
      <c r="E320" s="20"/>
      <c r="F320" s="20"/>
      <c r="G320" s="18"/>
      <c r="H320" s="18"/>
      <c r="I320" s="18" t="s">
        <v>642</v>
      </c>
      <c r="J320" s="18"/>
      <c r="K320" s="18"/>
      <c r="L320" s="19" t="s">
        <v>643</v>
      </c>
      <c r="M320" s="19">
        <f t="shared" si="23"/>
        <v>39</v>
      </c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41" t="s">
        <v>35</v>
      </c>
      <c r="AE320" s="41"/>
    </row>
    <row r="321" spans="1:31" s="15" customFormat="1" x14ac:dyDescent="0.25">
      <c r="A321" s="15"/>
      <c r="B321" s="16">
        <v>2</v>
      </c>
      <c r="C321" s="15"/>
      <c r="D321" s="17"/>
      <c r="E321" s="17"/>
      <c r="F321" s="17"/>
      <c r="G321" s="37"/>
      <c r="H321" s="37" t="s">
        <v>644</v>
      </c>
      <c r="I321" s="37"/>
      <c r="J321" s="38"/>
      <c r="K321" s="38"/>
      <c r="L321" s="16" t="s">
        <v>645</v>
      </c>
      <c r="M321" s="16">
        <f t="shared" si="23"/>
        <v>27</v>
      </c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37" t="s">
        <v>35</v>
      </c>
      <c r="AE321" s="16"/>
    </row>
    <row r="322" spans="1:31" s="18" customFormat="1" x14ac:dyDescent="0.25">
      <c r="A322" s="18"/>
      <c r="B322" s="19">
        <v>3</v>
      </c>
      <c r="C322" s="18"/>
      <c r="D322" s="20"/>
      <c r="E322" s="20"/>
      <c r="F322" s="20"/>
      <c r="G322" s="39"/>
      <c r="H322" s="39"/>
      <c r="I322" s="39" t="s">
        <v>646</v>
      </c>
      <c r="J322" s="39"/>
      <c r="K322" s="39"/>
      <c r="L322" s="19" t="s">
        <v>647</v>
      </c>
      <c r="M322" s="19">
        <f t="shared" si="23"/>
        <v>43</v>
      </c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41" t="s">
        <v>35</v>
      </c>
      <c r="AE322" s="41"/>
    </row>
    <row r="323" spans="1:31" s="18" customFormat="1" x14ac:dyDescent="0.25">
      <c r="A323" s="18"/>
      <c r="B323" s="19">
        <v>3</v>
      </c>
      <c r="C323" s="18"/>
      <c r="D323" s="20"/>
      <c r="E323" s="20"/>
      <c r="F323" s="20"/>
      <c r="G323" s="39"/>
      <c r="H323" s="39"/>
      <c r="I323" s="39" t="s">
        <v>648</v>
      </c>
      <c r="J323" s="39"/>
      <c r="K323" s="39"/>
      <c r="L323" s="19" t="s">
        <v>649</v>
      </c>
      <c r="M323" s="19">
        <f t="shared" si="23"/>
        <v>41</v>
      </c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41" t="s">
        <v>35</v>
      </c>
      <c r="AE323" s="41"/>
    </row>
    <row r="324" spans="1:31" s="13" customFormat="1" x14ac:dyDescent="0.25">
      <c r="A324" s="13"/>
      <c r="B324" s="14">
        <v>1</v>
      </c>
      <c r="C324" s="13">
        <v>5001</v>
      </c>
      <c r="D324" s="14" t="s">
        <v>31</v>
      </c>
      <c r="E324" s="14" t="s">
        <v>32</v>
      </c>
      <c r="F324" s="14" t="s">
        <v>34</v>
      </c>
      <c r="G324" s="35" t="s">
        <v>650</v>
      </c>
      <c r="H324" s="35"/>
      <c r="I324" s="35"/>
      <c r="J324" s="13" t="str">
        <f t="shared" ref="J324" si="26">(C324)&amp;"-"&amp;(D324)&amp;"-"&amp;(E324)&amp;"-"&amp;(F324)&amp;"-"&amp;(G324)</f>
        <v>5001-PM03-BR-BR1-35-24P501</v>
      </c>
      <c r="K324" s="14">
        <f t="shared" ref="K324" si="27">LEN(J324)</f>
        <v>26</v>
      </c>
      <c r="L324" s="35" t="s">
        <v>651</v>
      </c>
      <c r="M324" s="14">
        <f t="shared" si="23"/>
        <v>23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36" t="s">
        <v>35</v>
      </c>
      <c r="AE324" s="14"/>
    </row>
    <row r="325" spans="1:31" s="15" customFormat="1" x14ac:dyDescent="0.25">
      <c r="A325" s="15"/>
      <c r="B325" s="16">
        <v>2</v>
      </c>
      <c r="C325" s="15"/>
      <c r="D325" s="17"/>
      <c r="E325" s="17"/>
      <c r="F325" s="17"/>
      <c r="G325" s="42"/>
      <c r="H325" s="42" t="s">
        <v>650</v>
      </c>
      <c r="I325" s="42"/>
      <c r="J325" s="42"/>
      <c r="K325" s="42"/>
      <c r="L325" s="42" t="s">
        <v>652</v>
      </c>
      <c r="M325" s="16">
        <f t="shared" si="23"/>
        <v>18</v>
      </c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37" t="s">
        <v>35</v>
      </c>
      <c r="AE325" s="16"/>
    </row>
    <row r="326" spans="1:31" s="15" customFormat="1" x14ac:dyDescent="0.25">
      <c r="A326" s="15"/>
      <c r="B326" s="16">
        <v>2</v>
      </c>
      <c r="C326" s="15"/>
      <c r="D326" s="17"/>
      <c r="E326" s="17"/>
      <c r="F326" s="17"/>
      <c r="G326" s="42"/>
      <c r="H326" s="42" t="s">
        <v>653</v>
      </c>
      <c r="I326" s="15"/>
      <c r="J326" s="42"/>
      <c r="K326" s="42"/>
      <c r="L326" s="42" t="s">
        <v>654</v>
      </c>
      <c r="M326" s="16">
        <f t="shared" si="23"/>
        <v>29</v>
      </c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37" t="s">
        <v>35</v>
      </c>
      <c r="AE326" s="16"/>
    </row>
    <row r="327" spans="1:31" s="15" customFormat="1" x14ac:dyDescent="0.25">
      <c r="A327" s="15"/>
      <c r="B327" s="16">
        <v>2</v>
      </c>
      <c r="C327" s="15"/>
      <c r="D327" s="17"/>
      <c r="E327" s="17"/>
      <c r="F327" s="17"/>
      <c r="G327" s="37"/>
      <c r="H327" s="37" t="s">
        <v>655</v>
      </c>
      <c r="I327" s="37"/>
      <c r="J327" s="38"/>
      <c r="K327" s="38"/>
      <c r="L327" s="16" t="s">
        <v>656</v>
      </c>
      <c r="M327" s="16">
        <f t="shared" si="23"/>
        <v>26</v>
      </c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37" t="s">
        <v>35</v>
      </c>
      <c r="AE327" s="16"/>
    </row>
    <row r="328" spans="1:31" s="18" customFormat="1" x14ac:dyDescent="0.25">
      <c r="A328" s="18"/>
      <c r="B328" s="19">
        <v>3</v>
      </c>
      <c r="C328" s="18"/>
      <c r="D328" s="20"/>
      <c r="E328" s="20"/>
      <c r="F328" s="20"/>
      <c r="G328" s="39"/>
      <c r="H328" s="39"/>
      <c r="I328" s="39" t="s">
        <v>657</v>
      </c>
      <c r="J328" s="39"/>
      <c r="K328" s="39"/>
      <c r="L328" s="19" t="s">
        <v>658</v>
      </c>
      <c r="M328" s="19">
        <f t="shared" si="23"/>
        <v>43</v>
      </c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41" t="s">
        <v>35</v>
      </c>
      <c r="AE328" s="41"/>
    </row>
    <row r="329" spans="1:31" s="18" customFormat="1" x14ac:dyDescent="0.25">
      <c r="A329" s="18"/>
      <c r="B329" s="19">
        <v>3</v>
      </c>
      <c r="C329" s="18"/>
      <c r="D329" s="20"/>
      <c r="E329" s="20"/>
      <c r="F329" s="20"/>
      <c r="G329" s="39"/>
      <c r="H329" s="39"/>
      <c r="I329" s="39" t="s">
        <v>659</v>
      </c>
      <c r="J329" s="39"/>
      <c r="K329" s="39"/>
      <c r="L329" s="19" t="s">
        <v>660</v>
      </c>
      <c r="M329" s="19">
        <f t="shared" si="23"/>
        <v>36</v>
      </c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41" t="s">
        <v>35</v>
      </c>
      <c r="AE329" s="41"/>
    </row>
    <row r="330" spans="1:31" s="18" customFormat="1" x14ac:dyDescent="0.25">
      <c r="A330" s="18"/>
      <c r="B330" s="19">
        <v>3</v>
      </c>
      <c r="C330" s="18"/>
      <c r="D330" s="20"/>
      <c r="E330" s="20"/>
      <c r="F330" s="20"/>
      <c r="G330" s="18"/>
      <c r="H330" s="18"/>
      <c r="I330" s="18" t="s">
        <v>661</v>
      </c>
      <c r="J330" s="18"/>
      <c r="K330" s="18"/>
      <c r="L330" s="19" t="s">
        <v>662</v>
      </c>
      <c r="M330" s="19">
        <f t="shared" si="23"/>
        <v>38</v>
      </c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41" t="s">
        <v>35</v>
      </c>
      <c r="AE330" s="41"/>
    </row>
    <row r="331" spans="1:31" s="18" customFormat="1" x14ac:dyDescent="0.25">
      <c r="A331" s="18"/>
      <c r="B331" s="19">
        <v>3</v>
      </c>
      <c r="C331" s="18"/>
      <c r="D331" s="20"/>
      <c r="E331" s="20"/>
      <c r="F331" s="20"/>
      <c r="G331" s="39"/>
      <c r="H331" s="39"/>
      <c r="I331" s="39" t="s">
        <v>663</v>
      </c>
      <c r="J331" s="39"/>
      <c r="K331" s="39"/>
      <c r="L331" s="19" t="s">
        <v>664</v>
      </c>
      <c r="M331" s="19">
        <f t="shared" si="23"/>
        <v>41</v>
      </c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41" t="s">
        <v>35</v>
      </c>
      <c r="AE331" s="41"/>
    </row>
    <row r="332" spans="1:31" s="18" customFormat="1" x14ac:dyDescent="0.25">
      <c r="A332" s="18"/>
      <c r="B332" s="19">
        <v>3</v>
      </c>
      <c r="C332" s="18"/>
      <c r="D332" s="20"/>
      <c r="E332" s="20"/>
      <c r="F332" s="20"/>
      <c r="G332" s="39"/>
      <c r="H332" s="39"/>
      <c r="I332" s="39" t="s">
        <v>665</v>
      </c>
      <c r="J332" s="39"/>
      <c r="K332" s="39"/>
      <c r="L332" s="19" t="s">
        <v>666</v>
      </c>
      <c r="M332" s="19">
        <f t="shared" si="23"/>
        <v>43</v>
      </c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41" t="s">
        <v>35</v>
      </c>
      <c r="AE332" s="41"/>
    </row>
    <row r="333" spans="1:31" s="15" customFormat="1" x14ac:dyDescent="0.25">
      <c r="A333" s="15"/>
      <c r="B333" s="16">
        <v>2</v>
      </c>
      <c r="C333" s="15"/>
      <c r="D333" s="17"/>
      <c r="E333" s="17"/>
      <c r="F333" s="17"/>
      <c r="G333" s="37"/>
      <c r="H333" s="37" t="s">
        <v>667</v>
      </c>
      <c r="I333" s="37"/>
      <c r="J333" s="38"/>
      <c r="K333" s="38"/>
      <c r="L333" s="16" t="s">
        <v>668</v>
      </c>
      <c r="M333" s="16">
        <f t="shared" si="23"/>
        <v>27</v>
      </c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37" t="s">
        <v>35</v>
      </c>
      <c r="AE333" s="16"/>
    </row>
    <row r="334" spans="1:31" s="18" customFormat="1" x14ac:dyDescent="0.25">
      <c r="A334" s="18"/>
      <c r="B334" s="19">
        <v>3</v>
      </c>
      <c r="C334" s="18"/>
      <c r="D334" s="20"/>
      <c r="E334" s="20"/>
      <c r="F334" s="20"/>
      <c r="G334" s="39"/>
      <c r="H334" s="39"/>
      <c r="I334" s="39" t="s">
        <v>669</v>
      </c>
      <c r="J334" s="39"/>
      <c r="K334" s="39"/>
      <c r="L334" s="19" t="s">
        <v>670</v>
      </c>
      <c r="M334" s="19">
        <f t="shared" si="23"/>
        <v>44</v>
      </c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41" t="s">
        <v>35</v>
      </c>
      <c r="AE334" s="41"/>
    </row>
    <row r="335" spans="1:31" s="18" customFormat="1" x14ac:dyDescent="0.25">
      <c r="A335" s="18"/>
      <c r="B335" s="19">
        <v>3</v>
      </c>
      <c r="C335" s="18"/>
      <c r="D335" s="20"/>
      <c r="E335" s="20"/>
      <c r="F335" s="20"/>
      <c r="G335" s="39"/>
      <c r="H335" s="39"/>
      <c r="I335" s="39" t="s">
        <v>671</v>
      </c>
      <c r="J335" s="39"/>
      <c r="K335" s="39"/>
      <c r="L335" s="19" t="s">
        <v>672</v>
      </c>
      <c r="M335" s="19">
        <f t="shared" si="23"/>
        <v>42</v>
      </c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41" t="s">
        <v>35</v>
      </c>
      <c r="AE335" s="41"/>
    </row>
    <row r="336" spans="1:31" s="13" customFormat="1" x14ac:dyDescent="0.25">
      <c r="A336" s="13"/>
      <c r="B336" s="14">
        <v>1</v>
      </c>
      <c r="C336" s="13">
        <v>5001</v>
      </c>
      <c r="D336" s="14" t="s">
        <v>31</v>
      </c>
      <c r="E336" s="14" t="s">
        <v>32</v>
      </c>
      <c r="F336" s="14" t="s">
        <v>34</v>
      </c>
      <c r="G336" s="35" t="s">
        <v>673</v>
      </c>
      <c r="H336" s="35"/>
      <c r="I336" s="35"/>
      <c r="J336" s="13" t="str">
        <f t="shared" ref="J336" si="28">(C336)&amp;"-"&amp;(D336)&amp;"-"&amp;(E336)&amp;"-"&amp;(F336)&amp;"-"&amp;(G336)</f>
        <v>5001-PM03-BR-BR1-35-24P502</v>
      </c>
      <c r="K336" s="14">
        <f t="shared" ref="K336" si="29">LEN(J336)</f>
        <v>26</v>
      </c>
      <c r="L336" s="35" t="s">
        <v>674</v>
      </c>
      <c r="M336" s="14">
        <f t="shared" si="23"/>
        <v>28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36" t="s">
        <v>35</v>
      </c>
      <c r="AE336" s="14"/>
    </row>
    <row r="337" spans="1:31" s="15" customFormat="1" x14ac:dyDescent="0.25">
      <c r="A337" s="15"/>
      <c r="B337" s="16">
        <v>2</v>
      </c>
      <c r="C337" s="15"/>
      <c r="D337" s="17"/>
      <c r="E337" s="17"/>
      <c r="F337" s="17"/>
      <c r="G337" s="42"/>
      <c r="H337" s="42" t="s">
        <v>673</v>
      </c>
      <c r="I337" s="42"/>
      <c r="J337" s="42"/>
      <c r="K337" s="42"/>
      <c r="L337" s="42" t="s">
        <v>675</v>
      </c>
      <c r="M337" s="16">
        <f t="shared" si="23"/>
        <v>18</v>
      </c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37" t="s">
        <v>35</v>
      </c>
      <c r="AE337" s="16"/>
    </row>
    <row r="338" spans="1:31" s="15" customFormat="1" x14ac:dyDescent="0.25">
      <c r="A338" s="15"/>
      <c r="B338" s="16">
        <v>2</v>
      </c>
      <c r="C338" s="15"/>
      <c r="D338" s="17"/>
      <c r="E338" s="17"/>
      <c r="F338" s="17"/>
      <c r="G338" s="42"/>
      <c r="H338" s="42" t="s">
        <v>676</v>
      </c>
      <c r="I338" s="15"/>
      <c r="J338" s="42"/>
      <c r="K338" s="42"/>
      <c r="L338" s="42" t="s">
        <v>677</v>
      </c>
      <c r="M338" s="16">
        <f t="shared" si="23"/>
        <v>34</v>
      </c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37" t="s">
        <v>35</v>
      </c>
      <c r="AE338" s="16"/>
    </row>
    <row r="339" spans="1:31" s="15" customFormat="1" x14ac:dyDescent="0.25">
      <c r="A339" s="15"/>
      <c r="B339" s="16">
        <v>2</v>
      </c>
      <c r="C339" s="15"/>
      <c r="D339" s="17"/>
      <c r="E339" s="17"/>
      <c r="F339" s="17"/>
      <c r="G339" s="37"/>
      <c r="H339" s="37" t="s">
        <v>485</v>
      </c>
      <c r="I339" s="37"/>
      <c r="J339" s="38"/>
      <c r="K339" s="38"/>
      <c r="L339" s="16" t="s">
        <v>678</v>
      </c>
      <c r="M339" s="16">
        <f t="shared" si="23"/>
        <v>26</v>
      </c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37" t="s">
        <v>35</v>
      </c>
      <c r="AE339" s="16"/>
    </row>
    <row r="340" spans="1:31" s="18" customFormat="1" x14ac:dyDescent="0.25">
      <c r="A340" s="18"/>
      <c r="B340" s="19">
        <v>3</v>
      </c>
      <c r="C340" s="18"/>
      <c r="D340" s="20"/>
      <c r="E340" s="20"/>
      <c r="F340" s="20"/>
      <c r="G340" s="39"/>
      <c r="H340" s="39"/>
      <c r="I340" s="39" t="s">
        <v>427</v>
      </c>
      <c r="J340" s="39"/>
      <c r="K340" s="39"/>
      <c r="L340" s="19" t="s">
        <v>679</v>
      </c>
      <c r="M340" s="19">
        <f t="shared" si="23"/>
        <v>42</v>
      </c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41" t="s">
        <v>35</v>
      </c>
      <c r="AE340" s="41"/>
    </row>
    <row r="341" spans="1:31" s="18" customFormat="1" x14ac:dyDescent="0.25">
      <c r="A341" s="18"/>
      <c r="B341" s="19">
        <v>3</v>
      </c>
      <c r="C341" s="18"/>
      <c r="D341" s="20"/>
      <c r="E341" s="20"/>
      <c r="F341" s="20"/>
      <c r="G341" s="39"/>
      <c r="H341" s="39"/>
      <c r="I341" s="39" t="s">
        <v>524</v>
      </c>
      <c r="J341" s="39"/>
      <c r="K341" s="39"/>
      <c r="L341" s="19" t="s">
        <v>680</v>
      </c>
      <c r="M341" s="19">
        <f t="shared" si="23"/>
        <v>42</v>
      </c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41" t="s">
        <v>35</v>
      </c>
      <c r="AE341" s="41"/>
    </row>
    <row r="342" spans="1:31" s="18" customFormat="1" x14ac:dyDescent="0.25">
      <c r="A342" s="18"/>
      <c r="B342" s="19">
        <v>3</v>
      </c>
      <c r="C342" s="18"/>
      <c r="D342" s="20"/>
      <c r="E342" s="20"/>
      <c r="F342" s="20"/>
      <c r="G342" s="39"/>
      <c r="H342" s="39"/>
      <c r="I342" s="39" t="s">
        <v>511</v>
      </c>
      <c r="J342" s="39"/>
      <c r="K342" s="39"/>
      <c r="L342" s="19" t="s">
        <v>681</v>
      </c>
      <c r="M342" s="19">
        <f t="shared" si="23"/>
        <v>40</v>
      </c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41" t="s">
        <v>35</v>
      </c>
      <c r="AE342" s="41"/>
    </row>
    <row r="343" spans="1:31" s="18" customFormat="1" x14ac:dyDescent="0.25">
      <c r="A343" s="18"/>
      <c r="B343" s="19">
        <v>3</v>
      </c>
      <c r="C343" s="18"/>
      <c r="D343" s="20"/>
      <c r="E343" s="20"/>
      <c r="F343" s="20"/>
      <c r="G343" s="18"/>
      <c r="H343" s="18"/>
      <c r="I343" s="18" t="s">
        <v>682</v>
      </c>
      <c r="J343" s="18"/>
      <c r="K343" s="18"/>
      <c r="L343" s="19" t="s">
        <v>683</v>
      </c>
      <c r="M343" s="19">
        <f t="shared" ref="M343:M432" si="30">LEN(L343)</f>
        <v>38</v>
      </c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41" t="s">
        <v>35</v>
      </c>
      <c r="AE343" s="41"/>
    </row>
    <row r="344" spans="1:31" s="18" customFormat="1" x14ac:dyDescent="0.25">
      <c r="A344" s="18"/>
      <c r="B344" s="19">
        <v>3</v>
      </c>
      <c r="C344" s="18"/>
      <c r="D344" s="20"/>
      <c r="E344" s="20"/>
      <c r="F344" s="20"/>
      <c r="G344" s="18"/>
      <c r="H344" s="18"/>
      <c r="I344" s="18" t="s">
        <v>684</v>
      </c>
      <c r="J344" s="18"/>
      <c r="K344" s="18"/>
      <c r="L344" s="19" t="s">
        <v>685</v>
      </c>
      <c r="M344" s="19">
        <f t="shared" si="30"/>
        <v>33</v>
      </c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41" t="s">
        <v>35</v>
      </c>
      <c r="AE344" s="41"/>
    </row>
    <row r="345" spans="1:31" s="18" customFormat="1" x14ac:dyDescent="0.25">
      <c r="A345" s="18"/>
      <c r="B345" s="19">
        <v>3</v>
      </c>
      <c r="C345" s="18"/>
      <c r="D345" s="20"/>
      <c r="E345" s="20"/>
      <c r="F345" s="20"/>
      <c r="G345" s="18"/>
      <c r="H345" s="18"/>
      <c r="I345" s="18" t="s">
        <v>686</v>
      </c>
      <c r="J345" s="18"/>
      <c r="K345" s="18"/>
      <c r="L345" s="19" t="s">
        <v>687</v>
      </c>
      <c r="M345" s="19">
        <f t="shared" si="30"/>
        <v>26</v>
      </c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41" t="s">
        <v>35</v>
      </c>
      <c r="AE345" s="41"/>
    </row>
    <row r="346" spans="1:31" s="18" customFormat="1" x14ac:dyDescent="0.25">
      <c r="A346" s="18"/>
      <c r="B346" s="19">
        <v>3</v>
      </c>
      <c r="C346" s="18"/>
      <c r="D346" s="20"/>
      <c r="E346" s="20"/>
      <c r="F346" s="20"/>
      <c r="G346" s="18"/>
      <c r="H346" s="18"/>
      <c r="I346" s="18" t="s">
        <v>688</v>
      </c>
      <c r="J346" s="18"/>
      <c r="K346" s="18"/>
      <c r="L346" s="19" t="s">
        <v>689</v>
      </c>
      <c r="M346" s="19">
        <f t="shared" si="30"/>
        <v>35</v>
      </c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41" t="s">
        <v>35</v>
      </c>
      <c r="AE346" s="41"/>
    </row>
    <row r="347" spans="1:31" s="18" customFormat="1" x14ac:dyDescent="0.25">
      <c r="A347" s="18"/>
      <c r="B347" s="19">
        <v>3</v>
      </c>
      <c r="C347" s="18"/>
      <c r="D347" s="20"/>
      <c r="E347" s="20"/>
      <c r="F347" s="20"/>
      <c r="G347" s="18"/>
      <c r="H347" s="18"/>
      <c r="I347" s="18" t="s">
        <v>690</v>
      </c>
      <c r="J347" s="18"/>
      <c r="K347" s="18"/>
      <c r="L347" s="18" t="s">
        <v>691</v>
      </c>
      <c r="M347" s="19">
        <f t="shared" si="30"/>
        <v>23</v>
      </c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41" t="s">
        <v>35</v>
      </c>
      <c r="AE347" s="41"/>
    </row>
    <row r="348" spans="1:31" s="13" customFormat="1" x14ac:dyDescent="0.25">
      <c r="A348" s="13"/>
      <c r="B348" s="14">
        <v>1</v>
      </c>
      <c r="C348" s="13">
        <v>5001</v>
      </c>
      <c r="D348" s="14" t="s">
        <v>31</v>
      </c>
      <c r="E348" s="14" t="s">
        <v>32</v>
      </c>
      <c r="F348" s="14" t="s">
        <v>34</v>
      </c>
      <c r="G348" s="35" t="s">
        <v>692</v>
      </c>
      <c r="H348" s="35"/>
      <c r="I348" s="35"/>
      <c r="J348" s="13" t="str">
        <f t="shared" ref="J348:J355" si="31">(C348)&amp;"-"&amp;(D348)&amp;"-"&amp;(E348)&amp;"-"&amp;(F348)&amp;"-"&amp;(G348)</f>
        <v>5001-PM03-BR-BR1-35-24XS-600</v>
      </c>
      <c r="K348" s="14">
        <f t="shared" ref="K348:K355" si="32">LEN(J348)</f>
        <v>28</v>
      </c>
      <c r="L348" s="35" t="s">
        <v>693</v>
      </c>
      <c r="M348" s="14">
        <f t="shared" si="30"/>
        <v>33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4" t="s">
        <v>35</v>
      </c>
      <c r="AE348" s="13"/>
    </row>
    <row r="349" spans="1:31" s="13" customFormat="1" x14ac:dyDescent="0.25">
      <c r="A349" s="13"/>
      <c r="B349" s="14">
        <v>1</v>
      </c>
      <c r="C349" s="13">
        <v>5001</v>
      </c>
      <c r="D349" s="14" t="s">
        <v>31</v>
      </c>
      <c r="E349" s="14" t="s">
        <v>32</v>
      </c>
      <c r="F349" s="14" t="s">
        <v>34</v>
      </c>
      <c r="G349" s="35" t="s">
        <v>694</v>
      </c>
      <c r="H349" s="35"/>
      <c r="I349" s="35"/>
      <c r="J349" s="13" t="str">
        <f t="shared" si="31"/>
        <v>5001-PM03-BR-BR1-35-24ES-601</v>
      </c>
      <c r="K349" s="14">
        <f t="shared" si="32"/>
        <v>28</v>
      </c>
      <c r="L349" s="35" t="s">
        <v>695</v>
      </c>
      <c r="M349" s="14">
        <f t="shared" si="30"/>
        <v>33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4" t="s">
        <v>35</v>
      </c>
      <c r="AE349" s="13"/>
    </row>
    <row r="350" spans="1:31" s="13" customFormat="1" x14ac:dyDescent="0.25">
      <c r="A350" s="13"/>
      <c r="B350" s="14">
        <v>1</v>
      </c>
      <c r="C350" s="13">
        <v>5001</v>
      </c>
      <c r="D350" s="14" t="s">
        <v>31</v>
      </c>
      <c r="E350" s="14" t="s">
        <v>32</v>
      </c>
      <c r="F350" s="14" t="s">
        <v>34</v>
      </c>
      <c r="G350" s="35" t="s">
        <v>696</v>
      </c>
      <c r="H350" s="35"/>
      <c r="I350" s="35"/>
      <c r="J350" s="13" t="str">
        <f t="shared" si="31"/>
        <v>5001-PM03-BR-BR1-35-24KJ-602</v>
      </c>
      <c r="K350" s="14">
        <f t="shared" si="32"/>
        <v>28</v>
      </c>
      <c r="L350" s="35" t="s">
        <v>697</v>
      </c>
      <c r="M350" s="14">
        <f t="shared" si="30"/>
        <v>27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4" t="s">
        <v>35</v>
      </c>
      <c r="AE350" s="13"/>
    </row>
    <row r="351" spans="1:31" s="13" customFormat="1" x14ac:dyDescent="0.25">
      <c r="A351" s="13"/>
      <c r="B351" s="14">
        <v>1</v>
      </c>
      <c r="C351" s="13">
        <v>5001</v>
      </c>
      <c r="D351" s="14" t="s">
        <v>31</v>
      </c>
      <c r="E351" s="14" t="s">
        <v>32</v>
      </c>
      <c r="F351" s="14" t="s">
        <v>34</v>
      </c>
      <c r="G351" s="35" t="s">
        <v>698</v>
      </c>
      <c r="H351" s="35"/>
      <c r="I351" s="35"/>
      <c r="J351" s="13" t="str">
        <f t="shared" si="31"/>
        <v>5001-PM03-BR-BR1-35-24KJ-603</v>
      </c>
      <c r="K351" s="14">
        <f t="shared" si="32"/>
        <v>28</v>
      </c>
      <c r="L351" s="35" t="s">
        <v>699</v>
      </c>
      <c r="M351" s="14">
        <f t="shared" si="30"/>
        <v>26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4" t="s">
        <v>35</v>
      </c>
      <c r="AE351" s="13"/>
    </row>
    <row r="352" spans="1:31" s="13" customFormat="1" x14ac:dyDescent="0.25">
      <c r="A352" s="13"/>
      <c r="B352" s="14">
        <v>1</v>
      </c>
      <c r="C352" s="13">
        <v>5001</v>
      </c>
      <c r="D352" s="14" t="s">
        <v>31</v>
      </c>
      <c r="E352" s="14" t="s">
        <v>32</v>
      </c>
      <c r="F352" s="14" t="s">
        <v>34</v>
      </c>
      <c r="G352" s="35" t="s">
        <v>700</v>
      </c>
      <c r="H352" s="35"/>
      <c r="I352" s="35"/>
      <c r="J352" s="13" t="str">
        <f t="shared" si="31"/>
        <v>5001-PM03-BR-BR1-35-24HS-664</v>
      </c>
      <c r="K352" s="14">
        <f t="shared" si="32"/>
        <v>28</v>
      </c>
      <c r="L352" s="35" t="s">
        <v>701</v>
      </c>
      <c r="M352" s="14">
        <f t="shared" si="30"/>
        <v>32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4" t="s">
        <v>35</v>
      </c>
      <c r="AE352" s="13"/>
    </row>
    <row r="353" spans="1:31" s="13" customFormat="1" x14ac:dyDescent="0.25">
      <c r="A353" s="13"/>
      <c r="B353" s="14">
        <v>1</v>
      </c>
      <c r="C353" s="13">
        <v>5001</v>
      </c>
      <c r="D353" s="14" t="s">
        <v>31</v>
      </c>
      <c r="E353" s="14" t="s">
        <v>32</v>
      </c>
      <c r="F353" s="14" t="s">
        <v>34</v>
      </c>
      <c r="G353" s="35" t="s">
        <v>702</v>
      </c>
      <c r="H353" s="35"/>
      <c r="I353" s="35"/>
      <c r="J353" s="13" t="str">
        <f t="shared" si="31"/>
        <v>5001-PM03-BR-BR1-35-24HS-597</v>
      </c>
      <c r="K353" s="14">
        <f t="shared" si="32"/>
        <v>28</v>
      </c>
      <c r="L353" s="35" t="s">
        <v>703</v>
      </c>
      <c r="M353" s="14">
        <f t="shared" si="30"/>
        <v>31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4" t="s">
        <v>35</v>
      </c>
      <c r="AE353" s="13"/>
    </row>
    <row r="354" spans="1:31" s="13" customFormat="1" x14ac:dyDescent="0.25">
      <c r="A354" s="13"/>
      <c r="B354" s="14">
        <v>1</v>
      </c>
      <c r="C354" s="13">
        <v>5001</v>
      </c>
      <c r="D354" s="14" t="s">
        <v>31</v>
      </c>
      <c r="E354" s="14" t="s">
        <v>32</v>
      </c>
      <c r="F354" s="14" t="s">
        <v>34</v>
      </c>
      <c r="G354" s="35" t="s">
        <v>704</v>
      </c>
      <c r="H354" s="35"/>
      <c r="I354" s="35"/>
      <c r="J354" s="13" t="str">
        <f t="shared" si="31"/>
        <v>5001-PM03-BR-BR1-35-24HI-597</v>
      </c>
      <c r="K354" s="14">
        <f t="shared" si="32"/>
        <v>28</v>
      </c>
      <c r="L354" s="35" t="s">
        <v>705</v>
      </c>
      <c r="M354" s="14">
        <f t="shared" si="30"/>
        <v>31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4" t="s">
        <v>35</v>
      </c>
      <c r="AE354" s="13"/>
    </row>
    <row r="355" spans="1:31" s="13" customFormat="1" x14ac:dyDescent="0.25">
      <c r="A355" s="13"/>
      <c r="B355" s="14">
        <v>1</v>
      </c>
      <c r="C355" s="13">
        <v>5001</v>
      </c>
      <c r="D355" s="14" t="s">
        <v>31</v>
      </c>
      <c r="E355" s="14" t="s">
        <v>32</v>
      </c>
      <c r="F355" s="14" t="s">
        <v>34</v>
      </c>
      <c r="G355" s="35" t="s">
        <v>706</v>
      </c>
      <c r="H355" s="35"/>
      <c r="I355" s="35"/>
      <c r="J355" s="13" t="str">
        <f t="shared" si="31"/>
        <v>5001-PM03-BR-BR1-35-24T602</v>
      </c>
      <c r="K355" s="14">
        <f t="shared" si="32"/>
        <v>26</v>
      </c>
      <c r="L355" s="35" t="s">
        <v>707</v>
      </c>
      <c r="M355" s="14">
        <f t="shared" si="30"/>
        <v>29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4" t="s">
        <v>35</v>
      </c>
      <c r="AE355" s="13"/>
    </row>
    <row r="356" spans="1:31" s="15" customFormat="1" x14ac:dyDescent="0.25">
      <c r="A356" s="15"/>
      <c r="B356" s="16">
        <v>2</v>
      </c>
      <c r="C356" s="15"/>
      <c r="D356" s="16"/>
      <c r="E356" s="16"/>
      <c r="F356" s="16"/>
      <c r="G356" s="22"/>
      <c r="H356" s="22" t="s">
        <v>123</v>
      </c>
      <c r="I356" s="22"/>
      <c r="J356" s="15"/>
      <c r="K356" s="16"/>
      <c r="L356" s="22" t="s">
        <v>708</v>
      </c>
      <c r="M356" s="16">
        <f t="shared" si="30"/>
        <v>36</v>
      </c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6" t="s">
        <v>35</v>
      </c>
      <c r="AE356" s="15"/>
    </row>
    <row r="357" spans="1:31" s="15" customFormat="1" x14ac:dyDescent="0.25">
      <c r="A357" s="15"/>
      <c r="B357" s="16">
        <v>2</v>
      </c>
      <c r="C357" s="15"/>
      <c r="D357" s="17"/>
      <c r="E357" s="17"/>
      <c r="F357" s="17"/>
      <c r="G357" s="43"/>
      <c r="H357" s="43" t="s">
        <v>709</v>
      </c>
      <c r="I357" s="43"/>
      <c r="J357" s="44"/>
      <c r="K357" s="44"/>
      <c r="L357" s="43" t="s">
        <v>710</v>
      </c>
      <c r="M357" s="16">
        <f t="shared" si="30"/>
        <v>36</v>
      </c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 t="s">
        <v>35</v>
      </c>
      <c r="AE357" s="15"/>
    </row>
    <row r="358" spans="1:31" s="15" customFormat="1" x14ac:dyDescent="0.25">
      <c r="A358" s="15"/>
      <c r="B358" s="16">
        <v>2</v>
      </c>
      <c r="C358" s="15"/>
      <c r="D358" s="17"/>
      <c r="E358" s="17"/>
      <c r="F358" s="17"/>
      <c r="G358" s="43"/>
      <c r="H358" s="43" t="s">
        <v>500</v>
      </c>
      <c r="I358" s="43"/>
      <c r="J358" s="44"/>
      <c r="K358" s="44"/>
      <c r="L358" s="21" t="s">
        <v>711</v>
      </c>
      <c r="M358" s="16">
        <f t="shared" si="30"/>
        <v>31</v>
      </c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 t="s">
        <v>35</v>
      </c>
      <c r="AE358" s="15"/>
    </row>
    <row r="359" spans="1:31" s="15" customFormat="1" x14ac:dyDescent="0.25">
      <c r="A359" s="15"/>
      <c r="B359" s="16">
        <v>2</v>
      </c>
      <c r="C359" s="15"/>
      <c r="D359" s="17"/>
      <c r="E359" s="17"/>
      <c r="F359" s="17"/>
      <c r="G359" s="43"/>
      <c r="H359" s="43" t="s">
        <v>526</v>
      </c>
      <c r="I359" s="43"/>
      <c r="J359" s="44"/>
      <c r="K359" s="44"/>
      <c r="L359" s="21" t="s">
        <v>712</v>
      </c>
      <c r="M359" s="16">
        <f t="shared" si="30"/>
        <v>26</v>
      </c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 t="s">
        <v>35</v>
      </c>
      <c r="AE359" s="15"/>
    </row>
    <row r="360" spans="1:31" s="18" customFormat="1" x14ac:dyDescent="0.25">
      <c r="A360" s="18"/>
      <c r="B360" s="19">
        <v>3</v>
      </c>
      <c r="C360" s="18"/>
      <c r="D360" s="20"/>
      <c r="E360" s="20"/>
      <c r="F360" s="20"/>
      <c r="G360" s="45"/>
      <c r="H360" s="45"/>
      <c r="I360" s="45" t="s">
        <v>713</v>
      </c>
      <c r="J360" s="45"/>
      <c r="K360" s="45"/>
      <c r="L360" s="46" t="s">
        <v>714</v>
      </c>
      <c r="M360" s="19">
        <f t="shared" si="30"/>
        <v>33</v>
      </c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47" t="s">
        <v>35</v>
      </c>
      <c r="AE360" s="47"/>
    </row>
    <row r="361" spans="1:31" s="15" customFormat="1" x14ac:dyDescent="0.25">
      <c r="A361" s="15"/>
      <c r="B361" s="16">
        <v>2</v>
      </c>
      <c r="C361" s="15"/>
      <c r="D361" s="17"/>
      <c r="E361" s="17"/>
      <c r="F361" s="17"/>
      <c r="G361" s="21"/>
      <c r="H361" s="21" t="s">
        <v>715</v>
      </c>
      <c r="I361" s="21"/>
      <c r="J361" s="21"/>
      <c r="K361" s="21"/>
      <c r="L361" s="21" t="s">
        <v>716</v>
      </c>
      <c r="M361" s="16">
        <f t="shared" si="30"/>
        <v>33</v>
      </c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 t="s">
        <v>35</v>
      </c>
      <c r="AE361" s="15"/>
    </row>
    <row r="362" spans="1:31" s="15" customFormat="1" x14ac:dyDescent="0.25">
      <c r="A362" s="15"/>
      <c r="B362" s="16">
        <v>2</v>
      </c>
      <c r="C362" s="15"/>
      <c r="D362" s="17"/>
      <c r="E362" s="17"/>
      <c r="F362" s="17"/>
      <c r="G362" s="21"/>
      <c r="H362" s="21" t="s">
        <v>717</v>
      </c>
      <c r="I362" s="15"/>
      <c r="J362" s="21"/>
      <c r="K362" s="21"/>
      <c r="L362" s="21" t="s">
        <v>718</v>
      </c>
      <c r="M362" s="16">
        <f t="shared" si="30"/>
        <v>39</v>
      </c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43" t="s">
        <v>35</v>
      </c>
      <c r="AE362" s="15"/>
    </row>
    <row r="363" spans="1:31" s="15" customFormat="1" x14ac:dyDescent="0.25">
      <c r="A363" s="15"/>
      <c r="B363" s="16">
        <v>2</v>
      </c>
      <c r="C363" s="15"/>
      <c r="D363" s="17"/>
      <c r="E363" s="17"/>
      <c r="F363" s="17"/>
      <c r="G363" s="43"/>
      <c r="H363" s="43" t="s">
        <v>719</v>
      </c>
      <c r="I363" s="43"/>
      <c r="J363" s="44"/>
      <c r="K363" s="44"/>
      <c r="L363" s="48" t="s">
        <v>720</v>
      </c>
      <c r="M363" s="16">
        <f t="shared" si="30"/>
        <v>27</v>
      </c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 t="s">
        <v>35</v>
      </c>
      <c r="AE363" s="15"/>
    </row>
    <row r="364" spans="1:31" s="18" customFormat="1" x14ac:dyDescent="0.25">
      <c r="A364" s="18"/>
      <c r="B364" s="19">
        <v>3</v>
      </c>
      <c r="C364" s="18"/>
      <c r="D364" s="20"/>
      <c r="E364" s="20"/>
      <c r="F364" s="20"/>
      <c r="G364" s="45"/>
      <c r="H364" s="45"/>
      <c r="I364" s="45" t="s">
        <v>721</v>
      </c>
      <c r="J364" s="45"/>
      <c r="K364" s="45"/>
      <c r="L364" s="18" t="s">
        <v>722</v>
      </c>
      <c r="M364" s="19">
        <f t="shared" si="30"/>
        <v>37</v>
      </c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47" t="s">
        <v>35</v>
      </c>
      <c r="AE364" s="47"/>
    </row>
    <row r="365" spans="1:31" s="18" customFormat="1" x14ac:dyDescent="0.25">
      <c r="A365" s="18"/>
      <c r="B365" s="19">
        <v>3</v>
      </c>
      <c r="C365" s="18"/>
      <c r="D365" s="20"/>
      <c r="E365" s="20"/>
      <c r="F365" s="20"/>
      <c r="G365" s="45"/>
      <c r="H365" s="45"/>
      <c r="I365" s="45" t="s">
        <v>723</v>
      </c>
      <c r="J365" s="45"/>
      <c r="K365" s="45"/>
      <c r="L365" s="18" t="s">
        <v>724</v>
      </c>
      <c r="M365" s="19">
        <f t="shared" si="30"/>
        <v>42</v>
      </c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47" t="s">
        <v>35</v>
      </c>
      <c r="AE365" s="47"/>
    </row>
    <row r="366" spans="1:31" s="13" customFormat="1" x14ac:dyDescent="0.25">
      <c r="A366" s="13"/>
      <c r="B366" s="14">
        <v>1</v>
      </c>
      <c r="C366" s="13">
        <v>5001</v>
      </c>
      <c r="D366" s="14" t="s">
        <v>31</v>
      </c>
      <c r="E366" s="14" t="s">
        <v>32</v>
      </c>
      <c r="F366" s="14" t="s">
        <v>34</v>
      </c>
      <c r="G366" s="35" t="s">
        <v>725</v>
      </c>
      <c r="H366" s="35"/>
      <c r="I366" s="35"/>
      <c r="J366" s="13" t="str">
        <f t="shared" ref="J366" si="33">(C366)&amp;"-"&amp;(D366)&amp;"-"&amp;(E366)&amp;"-"&amp;(F366)&amp;"-"&amp;(G366)</f>
        <v>5001-PM03-BR-BR1-35-24P514</v>
      </c>
      <c r="K366" s="14">
        <f t="shared" ref="K366" si="34">LEN(J366)</f>
        <v>26</v>
      </c>
      <c r="L366" s="35" t="s">
        <v>726</v>
      </c>
      <c r="M366" s="14">
        <f t="shared" si="30"/>
        <v>26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4" t="s">
        <v>35</v>
      </c>
      <c r="AE366" s="13"/>
    </row>
    <row r="367" spans="1:31" s="15" customFormat="1" x14ac:dyDescent="0.25">
      <c r="A367" s="15"/>
      <c r="B367" s="16">
        <v>2</v>
      </c>
      <c r="C367" s="15"/>
      <c r="D367" s="17"/>
      <c r="E367" s="17"/>
      <c r="F367" s="17"/>
      <c r="G367" s="48"/>
      <c r="H367" s="48" t="s">
        <v>725</v>
      </c>
      <c r="I367" s="48"/>
      <c r="J367" s="48"/>
      <c r="K367" s="48"/>
      <c r="L367" s="48" t="s">
        <v>727</v>
      </c>
      <c r="M367" s="16">
        <f t="shared" si="30"/>
        <v>18</v>
      </c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 t="s">
        <v>35</v>
      </c>
      <c r="AE367" s="15"/>
    </row>
    <row r="368" spans="1:31" s="15" customFormat="1" x14ac:dyDescent="0.25">
      <c r="A368" s="15"/>
      <c r="B368" s="16">
        <v>2</v>
      </c>
      <c r="C368" s="15"/>
      <c r="D368" s="17"/>
      <c r="E368" s="17"/>
      <c r="F368" s="17"/>
      <c r="G368" s="48"/>
      <c r="H368" s="48" t="s">
        <v>728</v>
      </c>
      <c r="I368" s="15"/>
      <c r="J368" s="48"/>
      <c r="K368" s="48"/>
      <c r="L368" s="48" t="s">
        <v>729</v>
      </c>
      <c r="M368" s="16">
        <f t="shared" si="30"/>
        <v>32</v>
      </c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43" t="s">
        <v>35</v>
      </c>
      <c r="AE368" s="15"/>
    </row>
    <row r="369" spans="1:31" s="18" customFormat="1" x14ac:dyDescent="0.25">
      <c r="A369" s="18"/>
      <c r="B369" s="19">
        <v>3</v>
      </c>
      <c r="C369" s="18"/>
      <c r="D369" s="20"/>
      <c r="E369" s="20"/>
      <c r="F369" s="20"/>
      <c r="G369" s="49"/>
      <c r="H369" s="49"/>
      <c r="I369" s="45" t="s">
        <v>730</v>
      </c>
      <c r="J369" s="45"/>
      <c r="K369" s="45"/>
      <c r="L369" s="45" t="s">
        <v>731</v>
      </c>
      <c r="M369" s="19">
        <f t="shared" si="30"/>
        <v>27</v>
      </c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47" t="s">
        <v>35</v>
      </c>
      <c r="AE369" s="18"/>
    </row>
    <row r="370" spans="1:31" s="15" customFormat="1" x14ac:dyDescent="0.25">
      <c r="A370" s="15"/>
      <c r="B370" s="16">
        <v>2</v>
      </c>
      <c r="C370" s="15"/>
      <c r="D370" s="17"/>
      <c r="E370" s="17"/>
      <c r="F370" s="17"/>
      <c r="G370" s="43"/>
      <c r="H370" s="43" t="s">
        <v>732</v>
      </c>
      <c r="I370" s="43"/>
      <c r="J370" s="44"/>
      <c r="K370" s="44"/>
      <c r="L370" s="48" t="s">
        <v>733</v>
      </c>
      <c r="M370" s="16">
        <f t="shared" si="30"/>
        <v>26</v>
      </c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 t="s">
        <v>35</v>
      </c>
      <c r="AE370" s="15"/>
    </row>
    <row r="371" spans="1:31" s="18" customFormat="1" x14ac:dyDescent="0.25">
      <c r="A371" s="18"/>
      <c r="B371" s="19">
        <v>3</v>
      </c>
      <c r="C371" s="18"/>
      <c r="D371" s="20"/>
      <c r="E371" s="20"/>
      <c r="F371" s="20"/>
      <c r="G371" s="45"/>
      <c r="H371" s="45"/>
      <c r="I371" s="45" t="s">
        <v>259</v>
      </c>
      <c r="J371" s="45"/>
      <c r="K371" s="45"/>
      <c r="L371" s="18" t="s">
        <v>734</v>
      </c>
      <c r="M371" s="19">
        <f t="shared" si="30"/>
        <v>42</v>
      </c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47" t="s">
        <v>735</v>
      </c>
      <c r="AE371" s="47"/>
    </row>
    <row r="372" spans="1:31" s="18" customFormat="1" x14ac:dyDescent="0.25">
      <c r="A372" s="18"/>
      <c r="B372" s="19">
        <v>3</v>
      </c>
      <c r="C372" s="18"/>
      <c r="D372" s="20"/>
      <c r="E372" s="20"/>
      <c r="F372" s="20"/>
      <c r="G372" s="45"/>
      <c r="H372" s="45"/>
      <c r="I372" s="45" t="s">
        <v>736</v>
      </c>
      <c r="J372" s="45"/>
      <c r="K372" s="45"/>
      <c r="L372" s="18" t="s">
        <v>737</v>
      </c>
      <c r="M372" s="19">
        <f t="shared" si="30"/>
        <v>40</v>
      </c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47" t="s">
        <v>735</v>
      </c>
      <c r="AE372" s="47"/>
    </row>
    <row r="373" spans="1:31" s="18" customFormat="1" x14ac:dyDescent="0.25">
      <c r="A373" s="18"/>
      <c r="B373" s="19">
        <v>3</v>
      </c>
      <c r="C373" s="18"/>
      <c r="D373" s="20"/>
      <c r="E373" s="20"/>
      <c r="F373" s="20"/>
      <c r="G373" s="45"/>
      <c r="H373" s="45"/>
      <c r="I373" s="45" t="s">
        <v>582</v>
      </c>
      <c r="J373" s="45"/>
      <c r="K373" s="45"/>
      <c r="L373" s="18" t="s">
        <v>738</v>
      </c>
      <c r="M373" s="19">
        <f t="shared" si="30"/>
        <v>38</v>
      </c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47" t="s">
        <v>735</v>
      </c>
      <c r="AE373" s="47"/>
    </row>
    <row r="374" spans="1:31" s="18" customFormat="1" x14ac:dyDescent="0.25">
      <c r="A374" s="18"/>
      <c r="B374" s="19">
        <v>3</v>
      </c>
      <c r="C374" s="18"/>
      <c r="D374" s="20"/>
      <c r="E374" s="20"/>
      <c r="F374" s="20"/>
      <c r="G374" s="45"/>
      <c r="H374" s="45"/>
      <c r="I374" s="45" t="s">
        <v>739</v>
      </c>
      <c r="J374" s="45"/>
      <c r="K374" s="45"/>
      <c r="L374" s="18" t="s">
        <v>740</v>
      </c>
      <c r="M374" s="19">
        <f t="shared" si="30"/>
        <v>42</v>
      </c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47" t="s">
        <v>735</v>
      </c>
      <c r="AE374" s="47"/>
    </row>
    <row r="375" spans="1:31" s="18" customFormat="1" x14ac:dyDescent="0.25">
      <c r="A375" s="18"/>
      <c r="B375" s="19">
        <v>3</v>
      </c>
      <c r="C375" s="18"/>
      <c r="D375" s="20"/>
      <c r="E375" s="20"/>
      <c r="F375" s="20"/>
      <c r="G375" s="45"/>
      <c r="H375" s="45"/>
      <c r="I375" s="45" t="s">
        <v>741</v>
      </c>
      <c r="J375" s="45"/>
      <c r="K375" s="45"/>
      <c r="L375" s="18" t="s">
        <v>742</v>
      </c>
      <c r="M375" s="19">
        <f t="shared" si="30"/>
        <v>37</v>
      </c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47" t="s">
        <v>735</v>
      </c>
      <c r="AE375" s="47"/>
    </row>
    <row r="376" spans="1:31" s="15" customFormat="1" x14ac:dyDescent="0.25">
      <c r="A376" s="15"/>
      <c r="B376" s="16">
        <v>2</v>
      </c>
      <c r="C376" s="15"/>
      <c r="D376" s="17"/>
      <c r="E376" s="17"/>
      <c r="F376" s="17"/>
      <c r="G376" s="43"/>
      <c r="H376" s="43" t="s">
        <v>743</v>
      </c>
      <c r="I376" s="43"/>
      <c r="J376" s="44"/>
      <c r="K376" s="44"/>
      <c r="L376" s="48" t="s">
        <v>744</v>
      </c>
      <c r="M376" s="16">
        <f t="shared" si="30"/>
        <v>27</v>
      </c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 t="s">
        <v>35</v>
      </c>
      <c r="AE376" s="15"/>
    </row>
    <row r="377" spans="1:31" s="18" customFormat="1" x14ac:dyDescent="0.25">
      <c r="A377" s="18"/>
      <c r="B377" s="19">
        <v>3</v>
      </c>
      <c r="C377" s="18"/>
      <c r="D377" s="20"/>
      <c r="E377" s="20"/>
      <c r="F377" s="20"/>
      <c r="G377" s="45"/>
      <c r="H377" s="45"/>
      <c r="I377" s="45" t="s">
        <v>745</v>
      </c>
      <c r="J377" s="45"/>
      <c r="K377" s="45"/>
      <c r="L377" s="18" t="s">
        <v>746</v>
      </c>
      <c r="M377" s="19">
        <f t="shared" si="30"/>
        <v>37</v>
      </c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47" t="s">
        <v>35</v>
      </c>
      <c r="AE377" s="47"/>
    </row>
    <row r="378" spans="1:31" s="18" customFormat="1" x14ac:dyDescent="0.25">
      <c r="A378" s="18"/>
      <c r="B378" s="19">
        <v>3</v>
      </c>
      <c r="C378" s="18"/>
      <c r="D378" s="20"/>
      <c r="E378" s="20"/>
      <c r="F378" s="20"/>
      <c r="G378" s="45"/>
      <c r="H378" s="45"/>
      <c r="I378" s="45" t="s">
        <v>747</v>
      </c>
      <c r="J378" s="45"/>
      <c r="K378" s="45"/>
      <c r="L378" s="18" t="s">
        <v>748</v>
      </c>
      <c r="M378" s="19">
        <f t="shared" si="30"/>
        <v>37</v>
      </c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47" t="s">
        <v>35</v>
      </c>
      <c r="AE378" s="47"/>
    </row>
    <row r="379" spans="1:31" s="18" customFormat="1" x14ac:dyDescent="0.25">
      <c r="A379" s="18"/>
      <c r="B379" s="19">
        <v>3</v>
      </c>
      <c r="C379" s="18"/>
      <c r="D379" s="20"/>
      <c r="E379" s="20"/>
      <c r="F379" s="20"/>
      <c r="G379" s="45"/>
      <c r="H379" s="45"/>
      <c r="I379" s="45" t="s">
        <v>749</v>
      </c>
      <c r="J379" s="45"/>
      <c r="K379" s="45"/>
      <c r="L379" s="18" t="s">
        <v>750</v>
      </c>
      <c r="M379" s="19">
        <f t="shared" si="30"/>
        <v>40</v>
      </c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47" t="s">
        <v>35</v>
      </c>
      <c r="AE379" s="47"/>
    </row>
    <row r="380" spans="1:31" s="13" customFormat="1" x14ac:dyDescent="0.25">
      <c r="A380" s="13"/>
      <c r="B380" s="14">
        <v>1</v>
      </c>
      <c r="C380" s="13">
        <v>5001</v>
      </c>
      <c r="D380" s="14" t="s">
        <v>31</v>
      </c>
      <c r="E380" s="14" t="s">
        <v>32</v>
      </c>
      <c r="F380" s="14" t="s">
        <v>34</v>
      </c>
      <c r="G380" s="35" t="s">
        <v>751</v>
      </c>
      <c r="H380" s="35"/>
      <c r="I380" s="35"/>
      <c r="J380" s="13" t="str">
        <f t="shared" ref="J380" si="35">(C380)&amp;"-"&amp;(D380)&amp;"-"&amp;(E380)&amp;"-"&amp;(F380)&amp;"-"&amp;(G380)</f>
        <v>5001-PM03-BR-BR1-35-24P512</v>
      </c>
      <c r="K380" s="14">
        <f t="shared" ref="K380" si="36">LEN(J380)</f>
        <v>26</v>
      </c>
      <c r="L380" s="35" t="s">
        <v>752</v>
      </c>
      <c r="M380" s="14">
        <f t="shared" si="30"/>
        <v>33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4" t="s">
        <v>35</v>
      </c>
      <c r="AE380" s="13"/>
    </row>
    <row r="381" spans="1:31" s="15" customFormat="1" x14ac:dyDescent="0.25">
      <c r="A381" s="15"/>
      <c r="B381" s="16">
        <v>2</v>
      </c>
      <c r="C381" s="15"/>
      <c r="D381" s="17"/>
      <c r="E381" s="17"/>
      <c r="F381" s="17"/>
      <c r="G381" s="48"/>
      <c r="H381" s="48" t="s">
        <v>751</v>
      </c>
      <c r="I381" s="48"/>
      <c r="J381" s="48"/>
      <c r="K381" s="48"/>
      <c r="L381" s="48" t="s">
        <v>753</v>
      </c>
      <c r="M381" s="16">
        <f t="shared" si="30"/>
        <v>18</v>
      </c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 t="s">
        <v>35</v>
      </c>
      <c r="AE381" s="15"/>
    </row>
    <row r="382" spans="1:31" s="15" customFormat="1" x14ac:dyDescent="0.25">
      <c r="A382" s="15"/>
      <c r="B382" s="16">
        <v>2</v>
      </c>
      <c r="C382" s="15"/>
      <c r="D382" s="17"/>
      <c r="E382" s="17"/>
      <c r="F382" s="17"/>
      <c r="G382" s="48"/>
      <c r="H382" s="48" t="s">
        <v>754</v>
      </c>
      <c r="I382" s="15"/>
      <c r="J382" s="48"/>
      <c r="K382" s="48"/>
      <c r="L382" s="48" t="s">
        <v>755</v>
      </c>
      <c r="M382" s="16">
        <f t="shared" si="30"/>
        <v>39</v>
      </c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43" t="s">
        <v>35</v>
      </c>
      <c r="AE382" s="43"/>
    </row>
    <row r="383" spans="1:31" s="18" customFormat="1" x14ac:dyDescent="0.25">
      <c r="A383" s="18"/>
      <c r="B383" s="19">
        <v>3</v>
      </c>
      <c r="C383" s="18"/>
      <c r="D383" s="20"/>
      <c r="E383" s="20"/>
      <c r="F383" s="20"/>
      <c r="G383" s="49"/>
      <c r="H383" s="49"/>
      <c r="I383" s="49" t="s">
        <v>756</v>
      </c>
      <c r="J383" s="49"/>
      <c r="K383" s="49"/>
      <c r="L383" s="49" t="s">
        <v>757</v>
      </c>
      <c r="M383" s="19">
        <f t="shared" si="30"/>
        <v>28</v>
      </c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47" t="s">
        <v>35</v>
      </c>
      <c r="AE383" s="47"/>
    </row>
    <row r="384" spans="1:31" s="15" customFormat="1" x14ac:dyDescent="0.25">
      <c r="A384" s="15"/>
      <c r="B384" s="16">
        <v>2</v>
      </c>
      <c r="C384" s="15"/>
      <c r="D384" s="17"/>
      <c r="E384" s="17"/>
      <c r="F384" s="17"/>
      <c r="G384" s="43"/>
      <c r="H384" s="43" t="s">
        <v>317</v>
      </c>
      <c r="I384" s="43"/>
      <c r="J384" s="44"/>
      <c r="K384" s="44"/>
      <c r="L384" s="48" t="s">
        <v>758</v>
      </c>
      <c r="M384" s="16">
        <f t="shared" si="30"/>
        <v>26</v>
      </c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 t="s">
        <v>35</v>
      </c>
      <c r="AE384" s="15"/>
    </row>
    <row r="385" spans="1:31" s="18" customFormat="1" x14ac:dyDescent="0.25">
      <c r="A385" s="18"/>
      <c r="B385" s="19">
        <v>3</v>
      </c>
      <c r="C385" s="18"/>
      <c r="D385" s="20"/>
      <c r="E385" s="20"/>
      <c r="F385" s="20"/>
      <c r="G385" s="45"/>
      <c r="H385" s="45"/>
      <c r="I385" s="45" t="s">
        <v>759</v>
      </c>
      <c r="J385" s="45"/>
      <c r="K385" s="45"/>
      <c r="L385" s="18" t="s">
        <v>760</v>
      </c>
      <c r="M385" s="19">
        <f t="shared" si="30"/>
        <v>42</v>
      </c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47" t="s">
        <v>35</v>
      </c>
      <c r="AE385" s="47"/>
    </row>
    <row r="386" spans="1:31" s="18" customFormat="1" x14ac:dyDescent="0.25">
      <c r="A386" s="18"/>
      <c r="B386" s="19">
        <v>3</v>
      </c>
      <c r="C386" s="18"/>
      <c r="D386" s="20"/>
      <c r="E386" s="20"/>
      <c r="F386" s="20"/>
      <c r="G386" s="45"/>
      <c r="H386" s="45"/>
      <c r="I386" s="45" t="s">
        <v>761</v>
      </c>
      <c r="J386" s="45"/>
      <c r="K386" s="45"/>
      <c r="L386" s="18" t="s">
        <v>762</v>
      </c>
      <c r="M386" s="19">
        <f t="shared" si="30"/>
        <v>42</v>
      </c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47" t="s">
        <v>35</v>
      </c>
      <c r="AE386" s="47"/>
    </row>
    <row r="387" spans="1:31" s="18" customFormat="1" x14ac:dyDescent="0.25">
      <c r="A387" s="18"/>
      <c r="B387" s="19">
        <v>3</v>
      </c>
      <c r="C387" s="18"/>
      <c r="D387" s="20"/>
      <c r="E387" s="20"/>
      <c r="F387" s="20"/>
      <c r="G387" s="45"/>
      <c r="H387" s="45"/>
      <c r="I387" s="45" t="s">
        <v>763</v>
      </c>
      <c r="J387" s="45"/>
      <c r="K387" s="45"/>
      <c r="L387" s="18" t="s">
        <v>764</v>
      </c>
      <c r="M387" s="19">
        <f t="shared" si="30"/>
        <v>37</v>
      </c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47" t="s">
        <v>35</v>
      </c>
      <c r="AE387" s="47"/>
    </row>
    <row r="388" spans="1:31" s="18" customFormat="1" x14ac:dyDescent="0.25">
      <c r="A388" s="18"/>
      <c r="B388" s="19">
        <v>3</v>
      </c>
      <c r="C388" s="18"/>
      <c r="D388" s="20"/>
      <c r="E388" s="20"/>
      <c r="F388" s="20"/>
      <c r="G388" s="45"/>
      <c r="H388" s="45"/>
      <c r="I388" s="45" t="s">
        <v>313</v>
      </c>
      <c r="J388" s="45"/>
      <c r="K388" s="45"/>
      <c r="L388" s="18" t="s">
        <v>765</v>
      </c>
      <c r="M388" s="19">
        <f t="shared" si="30"/>
        <v>40</v>
      </c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47" t="s">
        <v>35</v>
      </c>
      <c r="AE388" s="47"/>
    </row>
    <row r="389" spans="1:31" s="18" customFormat="1" x14ac:dyDescent="0.25">
      <c r="A389" s="18"/>
      <c r="B389" s="19">
        <v>3</v>
      </c>
      <c r="C389" s="18"/>
      <c r="D389" s="20"/>
      <c r="E389" s="20"/>
      <c r="F389" s="20"/>
      <c r="G389" s="45"/>
      <c r="H389" s="45"/>
      <c r="I389" s="45" t="s">
        <v>281</v>
      </c>
      <c r="J389" s="45"/>
      <c r="K389" s="45"/>
      <c r="L389" s="18" t="s">
        <v>766</v>
      </c>
      <c r="M389" s="19">
        <f t="shared" si="30"/>
        <v>42</v>
      </c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47" t="s">
        <v>35</v>
      </c>
      <c r="AE389" s="47"/>
    </row>
    <row r="390" spans="1:31" s="18" customFormat="1" x14ac:dyDescent="0.25">
      <c r="A390" s="18"/>
      <c r="B390" s="19">
        <v>3</v>
      </c>
      <c r="C390" s="18"/>
      <c r="D390" s="20"/>
      <c r="E390" s="20"/>
      <c r="F390" s="20"/>
      <c r="G390" s="45"/>
      <c r="H390" s="45"/>
      <c r="I390" s="45" t="s">
        <v>767</v>
      </c>
      <c r="J390" s="45"/>
      <c r="K390" s="45"/>
      <c r="L390" s="18" t="s">
        <v>768</v>
      </c>
      <c r="M390" s="19">
        <f t="shared" si="30"/>
        <v>37</v>
      </c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47" t="s">
        <v>35</v>
      </c>
      <c r="AE390" s="47"/>
    </row>
    <row r="391" spans="1:31" s="18" customFormat="1" x14ac:dyDescent="0.25">
      <c r="A391" s="18"/>
      <c r="B391" s="19">
        <v>3</v>
      </c>
      <c r="C391" s="18"/>
      <c r="D391" s="20"/>
      <c r="E391" s="20"/>
      <c r="F391" s="20"/>
      <c r="G391" s="18"/>
      <c r="H391" s="18"/>
      <c r="I391" s="18" t="s">
        <v>769</v>
      </c>
      <c r="J391" s="18"/>
      <c r="K391" s="18"/>
      <c r="L391" s="18" t="s">
        <v>770</v>
      </c>
      <c r="M391" s="19">
        <f t="shared" si="30"/>
        <v>38</v>
      </c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47" t="s">
        <v>35</v>
      </c>
      <c r="AE391" s="47"/>
    </row>
    <row r="392" spans="1:31" s="18" customFormat="1" x14ac:dyDescent="0.25">
      <c r="A392" s="18"/>
      <c r="B392" s="19">
        <v>3</v>
      </c>
      <c r="C392" s="18"/>
      <c r="D392" s="20"/>
      <c r="E392" s="20"/>
      <c r="F392" s="20"/>
      <c r="G392" s="18"/>
      <c r="H392" s="18"/>
      <c r="I392" s="18" t="s">
        <v>771</v>
      </c>
      <c r="J392" s="18"/>
      <c r="K392" s="18"/>
      <c r="L392" s="18" t="s">
        <v>772</v>
      </c>
      <c r="M392" s="19">
        <f t="shared" si="30"/>
        <v>31</v>
      </c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47" t="s">
        <v>35</v>
      </c>
      <c r="AE392" s="47"/>
    </row>
    <row r="393" spans="1:31" s="15" customFormat="1" x14ac:dyDescent="0.25">
      <c r="A393" s="15"/>
      <c r="B393" s="16">
        <v>2</v>
      </c>
      <c r="C393" s="15"/>
      <c r="D393" s="17"/>
      <c r="E393" s="17"/>
      <c r="F393" s="17"/>
      <c r="G393" s="43"/>
      <c r="H393" s="43" t="s">
        <v>773</v>
      </c>
      <c r="I393" s="43"/>
      <c r="J393" s="44"/>
      <c r="K393" s="44"/>
      <c r="L393" s="43" t="s">
        <v>774</v>
      </c>
      <c r="M393" s="16">
        <f t="shared" si="30"/>
        <v>39</v>
      </c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 t="s">
        <v>35</v>
      </c>
      <c r="AE393" s="15"/>
    </row>
    <row r="394" spans="1:31" s="18" customFormat="1" x14ac:dyDescent="0.25">
      <c r="A394" s="18"/>
      <c r="B394" s="19">
        <v>3</v>
      </c>
      <c r="C394" s="18"/>
      <c r="D394" s="20"/>
      <c r="E394" s="20"/>
      <c r="F394" s="20"/>
      <c r="G394" s="47"/>
      <c r="H394" s="47"/>
      <c r="I394" s="47" t="s">
        <v>775</v>
      </c>
      <c r="J394" s="45"/>
      <c r="K394" s="45"/>
      <c r="L394" s="47" t="s">
        <v>776</v>
      </c>
      <c r="M394" s="19">
        <f t="shared" si="30"/>
        <v>34</v>
      </c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 t="s">
        <v>35</v>
      </c>
      <c r="AE394" s="47"/>
    </row>
    <row r="395" spans="1:31" s="13" customFormat="1" x14ac:dyDescent="0.25">
      <c r="A395" s="13"/>
      <c r="B395" s="14">
        <v>1</v>
      </c>
      <c r="C395" s="13">
        <v>5001</v>
      </c>
      <c r="D395" s="14" t="s">
        <v>31</v>
      </c>
      <c r="E395" s="14" t="s">
        <v>32</v>
      </c>
      <c r="F395" s="14" t="s">
        <v>34</v>
      </c>
      <c r="G395" s="14" t="s">
        <v>777</v>
      </c>
      <c r="H395" s="14"/>
      <c r="I395" s="14"/>
      <c r="J395" s="13" t="str">
        <f>(C395)&amp;"-"&amp;(D395)&amp;"-"&amp;(E395)&amp;"-"&amp;(F395)&amp;"-"&amp;(G395)</f>
        <v>5001-PM03-BR-BR1-35-24L002</v>
      </c>
      <c r="K395" s="14">
        <f>LEN(J395)</f>
        <v>26</v>
      </c>
      <c r="L395" s="14" t="s">
        <v>778</v>
      </c>
      <c r="M395" s="14">
        <f t="shared" si="30"/>
        <v>26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36" t="s">
        <v>35</v>
      </c>
      <c r="AE395" s="13"/>
    </row>
    <row r="396" spans="1:31" s="15" customFormat="1" x14ac:dyDescent="0.25">
      <c r="A396" s="15"/>
      <c r="B396" s="16">
        <v>2</v>
      </c>
      <c r="C396" s="15"/>
      <c r="D396" s="17"/>
      <c r="E396" s="17"/>
      <c r="F396" s="17"/>
      <c r="G396" s="33"/>
      <c r="H396" s="33" t="s">
        <v>779</v>
      </c>
      <c r="I396" s="33"/>
      <c r="J396" s="33"/>
      <c r="K396" s="33"/>
      <c r="L396" s="15" t="s">
        <v>780</v>
      </c>
      <c r="M396" s="16">
        <f t="shared" si="30"/>
        <v>30</v>
      </c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37" t="s">
        <v>35</v>
      </c>
      <c r="AE396" s="15"/>
    </row>
    <row r="397" spans="1:31" s="15" customFormat="1" x14ac:dyDescent="0.25">
      <c r="A397" s="15"/>
      <c r="B397" s="16">
        <v>2</v>
      </c>
      <c r="C397" s="15"/>
      <c r="D397" s="17"/>
      <c r="E397" s="17"/>
      <c r="F397" s="17"/>
      <c r="G397" s="16"/>
      <c r="H397" s="16" t="s">
        <v>781</v>
      </c>
      <c r="I397" s="15"/>
      <c r="J397" s="16"/>
      <c r="K397" s="16"/>
      <c r="L397" s="15" t="s">
        <v>782</v>
      </c>
      <c r="M397" s="16">
        <f t="shared" si="30"/>
        <v>34</v>
      </c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37" t="s">
        <v>35</v>
      </c>
      <c r="AE397" s="15"/>
    </row>
    <row r="398" spans="1:31" s="18" customFormat="1" x14ac:dyDescent="0.25">
      <c r="A398" s="18"/>
      <c r="B398" s="19">
        <v>3</v>
      </c>
      <c r="C398" s="18"/>
      <c r="D398" s="20"/>
      <c r="E398" s="20"/>
      <c r="F398" s="20"/>
      <c r="G398" s="19"/>
      <c r="H398" s="19"/>
      <c r="I398" s="19" t="s">
        <v>783</v>
      </c>
      <c r="J398" s="19"/>
      <c r="K398" s="19"/>
      <c r="L398" s="19" t="s">
        <v>784</v>
      </c>
      <c r="M398" s="19">
        <f t="shared" si="30"/>
        <v>22</v>
      </c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41" t="s">
        <v>35</v>
      </c>
      <c r="AE398" s="18"/>
    </row>
    <row r="399" spans="1:31" s="15" customFormat="1" x14ac:dyDescent="0.25">
      <c r="A399" s="15"/>
      <c r="B399" s="16">
        <v>2</v>
      </c>
      <c r="C399" s="15"/>
      <c r="D399" s="17"/>
      <c r="E399" s="17"/>
      <c r="F399" s="17"/>
      <c r="G399" s="37"/>
      <c r="H399" s="37" t="s">
        <v>785</v>
      </c>
      <c r="I399" s="37"/>
      <c r="J399" s="38"/>
      <c r="K399" s="38"/>
      <c r="L399" s="15" t="s">
        <v>786</v>
      </c>
      <c r="M399" s="16">
        <f t="shared" si="30"/>
        <v>37</v>
      </c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37" t="s">
        <v>35</v>
      </c>
      <c r="AE399" s="15"/>
    </row>
    <row r="400" spans="1:31" s="15" customFormat="1" x14ac:dyDescent="0.25">
      <c r="A400" s="15"/>
      <c r="B400" s="16">
        <v>2</v>
      </c>
      <c r="C400" s="15"/>
      <c r="D400" s="17"/>
      <c r="E400" s="17"/>
      <c r="F400" s="17"/>
      <c r="G400" s="37"/>
      <c r="H400" s="37" t="s">
        <v>787</v>
      </c>
      <c r="I400" s="37"/>
      <c r="J400" s="38"/>
      <c r="K400" s="38"/>
      <c r="L400" s="15" t="s">
        <v>788</v>
      </c>
      <c r="M400" s="16">
        <f t="shared" si="30"/>
        <v>37</v>
      </c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37" t="s">
        <v>35</v>
      </c>
      <c r="AE400" s="15"/>
    </row>
    <row r="401" spans="1:31" s="18" customFormat="1" x14ac:dyDescent="0.25">
      <c r="A401" s="18"/>
      <c r="B401" s="19">
        <v>3</v>
      </c>
      <c r="C401" s="18"/>
      <c r="D401" s="20"/>
      <c r="E401" s="20"/>
      <c r="F401" s="20"/>
      <c r="G401" s="50"/>
      <c r="H401" s="50"/>
      <c r="I401" s="50" t="s">
        <v>789</v>
      </c>
      <c r="J401" s="51"/>
      <c r="K401" s="51"/>
      <c r="L401" s="50" t="s">
        <v>790</v>
      </c>
      <c r="M401" s="19">
        <f t="shared" si="30"/>
        <v>30</v>
      </c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50"/>
      <c r="AE401" s="18"/>
    </row>
    <row r="402" spans="1:31" s="18" customFormat="1" x14ac:dyDescent="0.25">
      <c r="A402" s="18"/>
      <c r="B402" s="19">
        <v>3</v>
      </c>
      <c r="C402" s="18"/>
      <c r="D402" s="20"/>
      <c r="E402" s="20"/>
      <c r="F402" s="20"/>
      <c r="G402" s="50"/>
      <c r="H402" s="50"/>
      <c r="I402" s="50" t="s">
        <v>791</v>
      </c>
      <c r="J402" s="51"/>
      <c r="K402" s="51"/>
      <c r="L402" s="50" t="s">
        <v>792</v>
      </c>
      <c r="M402" s="19">
        <f t="shared" si="30"/>
        <v>24</v>
      </c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50"/>
      <c r="AE402" s="18"/>
    </row>
    <row r="403" spans="1:31" s="18" customFormat="1" x14ac:dyDescent="0.25">
      <c r="A403" s="18"/>
      <c r="B403" s="19">
        <v>3</v>
      </c>
      <c r="C403" s="18"/>
      <c r="D403" s="20"/>
      <c r="E403" s="20"/>
      <c r="F403" s="20"/>
      <c r="G403" s="39"/>
      <c r="H403" s="39"/>
      <c r="I403" s="39" t="s">
        <v>793</v>
      </c>
      <c r="J403" s="39"/>
      <c r="K403" s="39"/>
      <c r="L403" s="18" t="s">
        <v>794</v>
      </c>
      <c r="M403" s="19">
        <f t="shared" si="30"/>
        <v>24</v>
      </c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41" t="s">
        <v>35</v>
      </c>
      <c r="AE403" s="41"/>
    </row>
    <row r="404" spans="1:31" s="18" customFormat="1" x14ac:dyDescent="0.25">
      <c r="A404" s="18"/>
      <c r="B404" s="19">
        <v>3</v>
      </c>
      <c r="C404" s="18"/>
      <c r="D404" s="20"/>
      <c r="E404" s="20"/>
      <c r="F404" s="20"/>
      <c r="G404" s="39"/>
      <c r="H404" s="39"/>
      <c r="I404" s="39" t="s">
        <v>795</v>
      </c>
      <c r="J404" s="39"/>
      <c r="K404" s="39"/>
      <c r="L404" s="18" t="s">
        <v>796</v>
      </c>
      <c r="M404" s="19">
        <f t="shared" si="30"/>
        <v>34</v>
      </c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41" t="s">
        <v>35</v>
      </c>
      <c r="AE404" s="41"/>
    </row>
    <row r="405" spans="1:31" s="15" customFormat="1" x14ac:dyDescent="0.25">
      <c r="A405" s="15"/>
      <c r="B405" s="16">
        <v>2</v>
      </c>
      <c r="C405" s="15"/>
      <c r="D405" s="17"/>
      <c r="E405" s="17"/>
      <c r="F405" s="17"/>
      <c r="G405" s="37"/>
      <c r="H405" s="37" t="s">
        <v>797</v>
      </c>
      <c r="I405" s="37"/>
      <c r="J405" s="38"/>
      <c r="K405" s="38"/>
      <c r="L405" s="15" t="s">
        <v>798</v>
      </c>
      <c r="M405" s="16">
        <f t="shared" si="30"/>
        <v>38</v>
      </c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37" t="s">
        <v>35</v>
      </c>
      <c r="AE405" s="15"/>
    </row>
    <row r="406" spans="1:31" s="15" customFormat="1" x14ac:dyDescent="0.25">
      <c r="A406" s="15"/>
      <c r="B406" s="16">
        <v>2</v>
      </c>
      <c r="C406" s="15"/>
      <c r="D406" s="17"/>
      <c r="E406" s="17"/>
      <c r="F406" s="17"/>
      <c r="G406" s="37"/>
      <c r="H406" s="37" t="s">
        <v>799</v>
      </c>
      <c r="I406" s="37"/>
      <c r="J406" s="38"/>
      <c r="K406" s="38"/>
      <c r="L406" s="15" t="s">
        <v>800</v>
      </c>
      <c r="M406" s="16">
        <f t="shared" si="30"/>
        <v>38</v>
      </c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37" t="s">
        <v>35</v>
      </c>
      <c r="AE406" s="15"/>
    </row>
    <row r="407" spans="1:31" s="18" customFormat="1" x14ac:dyDescent="0.25">
      <c r="A407" s="18"/>
      <c r="B407" s="19">
        <v>3</v>
      </c>
      <c r="C407" s="18"/>
      <c r="D407" s="20"/>
      <c r="E407" s="20"/>
      <c r="F407" s="20"/>
      <c r="G407" s="41"/>
      <c r="H407" s="41"/>
      <c r="I407" s="41" t="s">
        <v>801</v>
      </c>
      <c r="J407" s="39"/>
      <c r="K407" s="39"/>
      <c r="L407" s="18" t="s">
        <v>802</v>
      </c>
      <c r="M407" s="19">
        <f t="shared" si="30"/>
        <v>35</v>
      </c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41" t="s">
        <v>35</v>
      </c>
      <c r="AE407" s="41"/>
    </row>
    <row r="408" spans="1:31" s="18" customFormat="1" x14ac:dyDescent="0.25">
      <c r="A408" s="18"/>
      <c r="B408" s="19">
        <v>3</v>
      </c>
      <c r="C408" s="18"/>
      <c r="D408" s="20"/>
      <c r="E408" s="20"/>
      <c r="F408" s="20"/>
      <c r="G408" s="41"/>
      <c r="H408" s="41"/>
      <c r="I408" s="41" t="s">
        <v>803</v>
      </c>
      <c r="J408" s="39"/>
      <c r="K408" s="39"/>
      <c r="L408" s="18" t="s">
        <v>804</v>
      </c>
      <c r="M408" s="19">
        <f t="shared" si="30"/>
        <v>31</v>
      </c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41" t="s">
        <v>35</v>
      </c>
      <c r="AE408" s="41"/>
    </row>
    <row r="409" spans="1:31" s="13" customFormat="1" x14ac:dyDescent="0.25">
      <c r="A409" s="13"/>
      <c r="B409" s="14">
        <v>1</v>
      </c>
      <c r="C409" s="13">
        <v>5001</v>
      </c>
      <c r="D409" s="14" t="s">
        <v>31</v>
      </c>
      <c r="E409" s="14" t="s">
        <v>32</v>
      </c>
      <c r="F409" s="14" t="s">
        <v>34</v>
      </c>
      <c r="G409" s="14" t="s">
        <v>805</v>
      </c>
      <c r="H409" s="14"/>
      <c r="I409" s="14"/>
      <c r="J409" s="13" t="str">
        <f t="shared" ref="J409:J415" si="37">(C409)&amp;"-"&amp;(D409)&amp;"-"&amp;(E409)&amp;"-"&amp;(F409)&amp;"-"&amp;(G409)</f>
        <v>5001-PM03-BR-BR1-35-24KJ-686</v>
      </c>
      <c r="K409" s="14">
        <f t="shared" ref="K409:K415" si="38">LEN(J409)</f>
        <v>28</v>
      </c>
      <c r="L409" s="14" t="s">
        <v>806</v>
      </c>
      <c r="M409" s="14">
        <f t="shared" si="30"/>
        <v>43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36" t="s">
        <v>35</v>
      </c>
      <c r="AE409" s="13"/>
    </row>
    <row r="410" spans="1:31" s="13" customFormat="1" x14ac:dyDescent="0.25">
      <c r="A410" s="13"/>
      <c r="B410" s="14">
        <v>1</v>
      </c>
      <c r="C410" s="13">
        <v>5001</v>
      </c>
      <c r="D410" s="14" t="s">
        <v>31</v>
      </c>
      <c r="E410" s="14" t="s">
        <v>32</v>
      </c>
      <c r="F410" s="14" t="s">
        <v>34</v>
      </c>
      <c r="G410" s="14" t="s">
        <v>807</v>
      </c>
      <c r="H410" s="14"/>
      <c r="I410" s="14"/>
      <c r="J410" s="13" t="str">
        <f t="shared" si="37"/>
        <v>5001-PM03-BR-BR1-35-24KJ-687</v>
      </c>
      <c r="K410" s="14">
        <f t="shared" si="38"/>
        <v>28</v>
      </c>
      <c r="L410" s="14" t="s">
        <v>808</v>
      </c>
      <c r="M410" s="14">
        <f t="shared" si="30"/>
        <v>42</v>
      </c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36" t="s">
        <v>35</v>
      </c>
      <c r="AE410" s="13"/>
    </row>
    <row r="411" spans="1:31" s="13" customFormat="1" x14ac:dyDescent="0.25">
      <c r="A411" s="13"/>
      <c r="B411" s="14">
        <v>1</v>
      </c>
      <c r="C411" s="13">
        <v>5001</v>
      </c>
      <c r="D411" s="14" t="s">
        <v>31</v>
      </c>
      <c r="E411" s="14" t="s">
        <v>32</v>
      </c>
      <c r="F411" s="14" t="s">
        <v>34</v>
      </c>
      <c r="G411" s="14" t="s">
        <v>809</v>
      </c>
      <c r="H411" s="14"/>
      <c r="I411" s="14"/>
      <c r="J411" s="13" t="str">
        <f t="shared" si="37"/>
        <v>5001-PM03-BR-BR1-35-24ES-662</v>
      </c>
      <c r="K411" s="14">
        <f t="shared" si="38"/>
        <v>28</v>
      </c>
      <c r="L411" s="14" t="s">
        <v>810</v>
      </c>
      <c r="M411" s="14">
        <f t="shared" si="30"/>
        <v>35</v>
      </c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36" t="s">
        <v>35</v>
      </c>
      <c r="AE411" s="13"/>
    </row>
    <row r="412" spans="1:31" s="13" customFormat="1" x14ac:dyDescent="0.25">
      <c r="A412" s="13"/>
      <c r="B412" s="14">
        <v>1</v>
      </c>
      <c r="C412" s="13">
        <v>5001</v>
      </c>
      <c r="D412" s="14" t="s">
        <v>31</v>
      </c>
      <c r="E412" s="14" t="s">
        <v>32</v>
      </c>
      <c r="F412" s="14" t="s">
        <v>34</v>
      </c>
      <c r="G412" s="14" t="s">
        <v>811</v>
      </c>
      <c r="H412" s="14"/>
      <c r="I412" s="14"/>
      <c r="J412" s="13" t="str">
        <f t="shared" si="37"/>
        <v>5001-PM03-BR-BR1-35-24HS-629</v>
      </c>
      <c r="K412" s="14">
        <f t="shared" si="38"/>
        <v>28</v>
      </c>
      <c r="L412" s="14" t="s">
        <v>812</v>
      </c>
      <c r="M412" s="14">
        <f t="shared" si="30"/>
        <v>40</v>
      </c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36" t="s">
        <v>35</v>
      </c>
      <c r="AE412" s="13"/>
    </row>
    <row r="413" spans="1:31" s="13" customFormat="1" x14ac:dyDescent="0.25">
      <c r="A413" s="13"/>
      <c r="B413" s="14">
        <v>1</v>
      </c>
      <c r="C413" s="13">
        <v>5001</v>
      </c>
      <c r="D413" s="14" t="s">
        <v>31</v>
      </c>
      <c r="E413" s="14" t="s">
        <v>32</v>
      </c>
      <c r="F413" s="14" t="s">
        <v>34</v>
      </c>
      <c r="G413" s="14" t="s">
        <v>813</v>
      </c>
      <c r="H413" s="14"/>
      <c r="I413" s="14"/>
      <c r="J413" s="13" t="str">
        <f t="shared" si="37"/>
        <v>5001-PM03-BR-BR1-35-24HS-630</v>
      </c>
      <c r="K413" s="14">
        <f t="shared" si="38"/>
        <v>28</v>
      </c>
      <c r="L413" s="14" t="s">
        <v>814</v>
      </c>
      <c r="M413" s="14">
        <f t="shared" si="30"/>
        <v>36</v>
      </c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36" t="s">
        <v>35</v>
      </c>
      <c r="AE413" s="13"/>
    </row>
    <row r="414" spans="1:31" s="13" customFormat="1" x14ac:dyDescent="0.25">
      <c r="A414" s="13"/>
      <c r="B414" s="14">
        <v>1</v>
      </c>
      <c r="C414" s="13">
        <v>5001</v>
      </c>
      <c r="D414" s="14" t="s">
        <v>31</v>
      </c>
      <c r="E414" s="14" t="s">
        <v>32</v>
      </c>
      <c r="F414" s="14" t="s">
        <v>34</v>
      </c>
      <c r="G414" s="14" t="s">
        <v>815</v>
      </c>
      <c r="H414" s="14"/>
      <c r="I414" s="14"/>
      <c r="J414" s="13" t="str">
        <f t="shared" si="37"/>
        <v>5001-PM03-BR-BR1-35-24ES-663</v>
      </c>
      <c r="K414" s="14">
        <f t="shared" si="38"/>
        <v>28</v>
      </c>
      <c r="L414" s="14" t="s">
        <v>816</v>
      </c>
      <c r="M414" s="14">
        <f t="shared" si="30"/>
        <v>35</v>
      </c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36" t="s">
        <v>35</v>
      </c>
      <c r="AE414" s="13"/>
    </row>
    <row r="415" spans="1:31" s="13" customFormat="1" x14ac:dyDescent="0.25">
      <c r="A415" s="13"/>
      <c r="B415" s="14">
        <v>1</v>
      </c>
      <c r="C415" s="13">
        <v>5001</v>
      </c>
      <c r="D415" s="14" t="s">
        <v>31</v>
      </c>
      <c r="E415" s="14" t="s">
        <v>32</v>
      </c>
      <c r="F415" s="14" t="s">
        <v>34</v>
      </c>
      <c r="G415" s="35" t="s">
        <v>817</v>
      </c>
      <c r="H415" s="35"/>
      <c r="I415" s="35"/>
      <c r="J415" s="13" t="str">
        <f t="shared" si="37"/>
        <v>5001-PM03-BR-BR1-35-24T604</v>
      </c>
      <c r="K415" s="14">
        <f t="shared" si="38"/>
        <v>26</v>
      </c>
      <c r="L415" s="35" t="s">
        <v>818</v>
      </c>
      <c r="M415" s="14">
        <f t="shared" si="30"/>
        <v>28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36" t="s">
        <v>35</v>
      </c>
      <c r="AE415" s="14"/>
    </row>
    <row r="416" spans="1:31" s="15" customFormat="1" x14ac:dyDescent="0.25">
      <c r="A416" s="15"/>
      <c r="B416" s="16">
        <v>2</v>
      </c>
      <c r="C416" s="15"/>
      <c r="D416" s="17"/>
      <c r="E416" s="17"/>
      <c r="F416" s="17"/>
      <c r="G416" s="38"/>
      <c r="H416" s="38" t="s">
        <v>819</v>
      </c>
      <c r="I416" s="38"/>
      <c r="J416" s="38"/>
      <c r="K416" s="38"/>
      <c r="L416" s="22" t="s">
        <v>820</v>
      </c>
      <c r="M416" s="16">
        <f t="shared" si="30"/>
        <v>26</v>
      </c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37" t="s">
        <v>35</v>
      </c>
      <c r="AE416" s="16"/>
    </row>
    <row r="417" spans="1:31" s="18" customFormat="1" x14ac:dyDescent="0.25">
      <c r="A417" s="18"/>
      <c r="B417" s="19">
        <v>3</v>
      </c>
      <c r="C417" s="18"/>
      <c r="D417" s="20"/>
      <c r="E417" s="20"/>
      <c r="F417" s="20"/>
      <c r="G417" s="39"/>
      <c r="H417" s="39"/>
      <c r="I417" s="39" t="s">
        <v>821</v>
      </c>
      <c r="J417" s="39"/>
      <c r="K417" s="39"/>
      <c r="L417" s="40" t="s">
        <v>822</v>
      </c>
      <c r="M417" s="19">
        <f t="shared" si="30"/>
        <v>33</v>
      </c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41" t="s">
        <v>35</v>
      </c>
      <c r="AE417" s="41"/>
    </row>
    <row r="418" spans="1:31" s="15" customFormat="1" x14ac:dyDescent="0.25">
      <c r="A418" s="15"/>
      <c r="B418" s="16">
        <v>2</v>
      </c>
      <c r="C418" s="15"/>
      <c r="D418" s="17"/>
      <c r="E418" s="17"/>
      <c r="F418" s="17"/>
      <c r="G418" s="38"/>
      <c r="H418" s="38" t="s">
        <v>823</v>
      </c>
      <c r="I418" s="38"/>
      <c r="J418" s="38"/>
      <c r="K418" s="38"/>
      <c r="L418" s="22" t="s">
        <v>824</v>
      </c>
      <c r="M418" s="16">
        <f t="shared" si="30"/>
        <v>31</v>
      </c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37" t="s">
        <v>35</v>
      </c>
      <c r="AE418" s="16"/>
    </row>
    <row r="419" spans="1:31" s="15" customFormat="1" x14ac:dyDescent="0.25">
      <c r="A419" s="15"/>
      <c r="B419" s="16">
        <v>2</v>
      </c>
      <c r="C419" s="15"/>
      <c r="D419" s="17"/>
      <c r="E419" s="17"/>
      <c r="F419" s="17"/>
      <c r="G419" s="38"/>
      <c r="H419" s="38" t="s">
        <v>303</v>
      </c>
      <c r="I419" s="38"/>
      <c r="J419" s="38"/>
      <c r="K419" s="38"/>
      <c r="L419" s="38" t="s">
        <v>825</v>
      </c>
      <c r="M419" s="16">
        <f t="shared" si="30"/>
        <v>27</v>
      </c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37" t="s">
        <v>35</v>
      </c>
      <c r="AE419" s="16"/>
    </row>
    <row r="420" spans="1:31" s="18" customFormat="1" x14ac:dyDescent="0.25">
      <c r="A420" s="18"/>
      <c r="B420" s="19">
        <v>3</v>
      </c>
      <c r="C420" s="18"/>
      <c r="D420" s="20"/>
      <c r="E420" s="20"/>
      <c r="F420" s="20"/>
      <c r="G420" s="39"/>
      <c r="H420" s="39"/>
      <c r="I420" s="39" t="s">
        <v>826</v>
      </c>
      <c r="J420" s="39"/>
      <c r="K420" s="39"/>
      <c r="L420" s="39" t="s">
        <v>827</v>
      </c>
      <c r="M420" s="19">
        <f t="shared" si="30"/>
        <v>37</v>
      </c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41" t="s">
        <v>35</v>
      </c>
      <c r="AE420" s="41"/>
    </row>
    <row r="421" spans="1:31" s="18" customFormat="1" x14ac:dyDescent="0.25">
      <c r="A421" s="18"/>
      <c r="B421" s="19">
        <v>3</v>
      </c>
      <c r="C421" s="18"/>
      <c r="D421" s="20"/>
      <c r="E421" s="20"/>
      <c r="F421" s="20"/>
      <c r="G421" s="39"/>
      <c r="H421" s="39"/>
      <c r="I421" s="39" t="s">
        <v>828</v>
      </c>
      <c r="J421" s="39"/>
      <c r="K421" s="39"/>
      <c r="L421" s="39" t="s">
        <v>829</v>
      </c>
      <c r="M421" s="19">
        <f t="shared" si="30"/>
        <v>42</v>
      </c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41" t="s">
        <v>35</v>
      </c>
      <c r="AE421" s="41"/>
    </row>
    <row r="422" spans="1:31" s="13" customFormat="1" x14ac:dyDescent="0.25">
      <c r="A422" s="13"/>
      <c r="B422" s="14">
        <v>1</v>
      </c>
      <c r="C422" s="13">
        <v>5001</v>
      </c>
      <c r="D422" s="14" t="s">
        <v>31</v>
      </c>
      <c r="E422" s="14" t="s">
        <v>32</v>
      </c>
      <c r="F422" s="14" t="s">
        <v>34</v>
      </c>
      <c r="G422" s="35" t="s">
        <v>830</v>
      </c>
      <c r="H422" s="35"/>
      <c r="I422" s="35"/>
      <c r="J422" s="13" t="str">
        <f t="shared" ref="J422" si="39">(C422)&amp;"-"&amp;(D422)&amp;"-"&amp;(E422)&amp;"-"&amp;(F422)&amp;"-"&amp;(G422)</f>
        <v>5001-PM03-BR-BR1-35-24P516</v>
      </c>
      <c r="K422" s="14">
        <f t="shared" ref="K422" si="40">LEN(J422)</f>
        <v>26</v>
      </c>
      <c r="L422" s="35" t="s">
        <v>831</v>
      </c>
      <c r="M422" s="14">
        <f t="shared" si="30"/>
        <v>32</v>
      </c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36" t="s">
        <v>35</v>
      </c>
      <c r="AE422" s="14"/>
    </row>
    <row r="423" spans="1:31" s="15" customFormat="1" x14ac:dyDescent="0.25">
      <c r="A423" s="15"/>
      <c r="B423" s="16">
        <v>2</v>
      </c>
      <c r="C423" s="15"/>
      <c r="D423" s="17"/>
      <c r="E423" s="17"/>
      <c r="F423" s="17"/>
      <c r="G423" s="38"/>
      <c r="H423" s="38" t="s">
        <v>830</v>
      </c>
      <c r="I423" s="38"/>
      <c r="J423" s="38"/>
      <c r="K423" s="38"/>
      <c r="L423" s="42" t="s">
        <v>832</v>
      </c>
      <c r="M423" s="16">
        <f t="shared" si="30"/>
        <v>18</v>
      </c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37" t="s">
        <v>35</v>
      </c>
      <c r="AE423" s="16"/>
    </row>
    <row r="424" spans="1:31" s="18" customFormat="1" x14ac:dyDescent="0.25">
      <c r="A424" s="18"/>
      <c r="B424" s="19">
        <v>3</v>
      </c>
      <c r="C424" s="18"/>
      <c r="D424" s="20"/>
      <c r="E424" s="20"/>
      <c r="F424" s="20"/>
      <c r="G424" s="39"/>
      <c r="H424" s="39"/>
      <c r="I424" s="39" t="s">
        <v>833</v>
      </c>
      <c r="J424" s="39"/>
      <c r="K424" s="39"/>
      <c r="L424" s="52" t="s">
        <v>834</v>
      </c>
      <c r="M424" s="19">
        <f t="shared" si="30"/>
        <v>38</v>
      </c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41" t="s">
        <v>35</v>
      </c>
      <c r="AE424" s="19"/>
    </row>
    <row r="425" spans="1:31" s="15" customFormat="1" x14ac:dyDescent="0.25">
      <c r="A425" s="15"/>
      <c r="B425" s="16">
        <v>2</v>
      </c>
      <c r="C425" s="15"/>
      <c r="D425" s="17"/>
      <c r="E425" s="17"/>
      <c r="F425" s="17"/>
      <c r="G425" s="38"/>
      <c r="H425" s="38" t="s">
        <v>835</v>
      </c>
      <c r="I425" s="38"/>
      <c r="J425" s="38"/>
      <c r="K425" s="38"/>
      <c r="L425" s="38" t="s">
        <v>836</v>
      </c>
      <c r="M425" s="16">
        <f t="shared" si="30"/>
        <v>26</v>
      </c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38" t="s">
        <v>837</v>
      </c>
      <c r="AE425" s="16"/>
    </row>
    <row r="426" spans="1:31" s="18" customFormat="1" x14ac:dyDescent="0.25">
      <c r="A426" s="18"/>
      <c r="B426" s="19">
        <v>3</v>
      </c>
      <c r="C426" s="18"/>
      <c r="D426" s="20"/>
      <c r="E426" s="20"/>
      <c r="F426" s="20"/>
      <c r="G426" s="39"/>
      <c r="H426" s="39"/>
      <c r="I426" s="39" t="s">
        <v>838</v>
      </c>
      <c r="J426" s="39"/>
      <c r="K426" s="39"/>
      <c r="L426" s="39" t="s">
        <v>839</v>
      </c>
      <c r="M426" s="19">
        <f t="shared" si="30"/>
        <v>40</v>
      </c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39" t="s">
        <v>837</v>
      </c>
      <c r="AE426" s="41"/>
    </row>
    <row r="427" spans="1:31" s="18" customFormat="1" x14ac:dyDescent="0.25">
      <c r="A427" s="18"/>
      <c r="B427" s="19">
        <v>3</v>
      </c>
      <c r="C427" s="18"/>
      <c r="D427" s="20"/>
      <c r="E427" s="20"/>
      <c r="F427" s="20"/>
      <c r="G427" s="39"/>
      <c r="H427" s="39"/>
      <c r="I427" s="39" t="s">
        <v>840</v>
      </c>
      <c r="J427" s="39"/>
      <c r="K427" s="39"/>
      <c r="L427" s="40" t="s">
        <v>841</v>
      </c>
      <c r="M427" s="19">
        <f t="shared" si="30"/>
        <v>30</v>
      </c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39" t="s">
        <v>837</v>
      </c>
      <c r="AE427" s="41"/>
    </row>
    <row r="428" spans="1:31" s="18" customFormat="1" x14ac:dyDescent="0.25">
      <c r="A428" s="18"/>
      <c r="B428" s="19">
        <v>3</v>
      </c>
      <c r="C428" s="18"/>
      <c r="D428" s="20"/>
      <c r="E428" s="20"/>
      <c r="F428" s="20"/>
      <c r="G428" s="39"/>
      <c r="H428" s="39"/>
      <c r="I428" s="39" t="s">
        <v>842</v>
      </c>
      <c r="J428" s="39"/>
      <c r="K428" s="39"/>
      <c r="L428" s="39" t="s">
        <v>843</v>
      </c>
      <c r="M428" s="19">
        <f t="shared" si="30"/>
        <v>34</v>
      </c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39" t="s">
        <v>837</v>
      </c>
      <c r="AE428" s="41"/>
    </row>
    <row r="429" spans="1:31" s="18" customFormat="1" x14ac:dyDescent="0.25">
      <c r="A429" s="18"/>
      <c r="B429" s="19">
        <v>3</v>
      </c>
      <c r="C429" s="18"/>
      <c r="D429" s="20"/>
      <c r="E429" s="20"/>
      <c r="F429" s="20"/>
      <c r="G429" s="39"/>
      <c r="H429" s="39"/>
      <c r="I429" s="39" t="s">
        <v>690</v>
      </c>
      <c r="J429" s="39"/>
      <c r="K429" s="39"/>
      <c r="L429" s="39" t="s">
        <v>844</v>
      </c>
      <c r="M429" s="19">
        <f t="shared" si="30"/>
        <v>42</v>
      </c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39" t="s">
        <v>837</v>
      </c>
      <c r="AE429" s="39"/>
    </row>
    <row r="430" spans="1:31" s="13" customFormat="1" x14ac:dyDescent="0.25">
      <c r="A430" s="13"/>
      <c r="B430" s="14">
        <v>1</v>
      </c>
      <c r="C430" s="13">
        <v>5001</v>
      </c>
      <c r="D430" s="14" t="s">
        <v>31</v>
      </c>
      <c r="E430" s="14" t="s">
        <v>32</v>
      </c>
      <c r="F430" s="14" t="s">
        <v>34</v>
      </c>
      <c r="G430" s="35" t="s">
        <v>845</v>
      </c>
      <c r="H430" s="35"/>
      <c r="I430" s="35"/>
      <c r="J430" s="13" t="str">
        <f>(C430)&amp;"-"&amp;(D430)&amp;"-"&amp;(E430)&amp;"-"&amp;(F430)&amp;"-"&amp;(G430)</f>
        <v>5001-PM03-BR-BR1-35-24T605</v>
      </c>
      <c r="K430" s="14">
        <f>LEN(J430)</f>
        <v>26</v>
      </c>
      <c r="L430" s="35" t="s">
        <v>846</v>
      </c>
      <c r="M430" s="14">
        <f t="shared" si="30"/>
        <v>29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36" t="s">
        <v>35</v>
      </c>
      <c r="AE430" s="13"/>
    </row>
    <row r="431" spans="1:31" s="15" customFormat="1" x14ac:dyDescent="0.25">
      <c r="A431" s="15"/>
      <c r="B431" s="16">
        <v>2</v>
      </c>
      <c r="C431" s="15"/>
      <c r="D431" s="17"/>
      <c r="E431" s="17"/>
      <c r="F431" s="17"/>
      <c r="G431" s="37"/>
      <c r="H431" s="37" t="s">
        <v>847</v>
      </c>
      <c r="I431" s="37"/>
      <c r="J431" s="38"/>
      <c r="K431" s="38"/>
      <c r="L431" s="16" t="s">
        <v>848</v>
      </c>
      <c r="M431" s="16">
        <f t="shared" si="30"/>
        <v>39</v>
      </c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37" t="s">
        <v>35</v>
      </c>
      <c r="AE431" s="16"/>
    </row>
    <row r="432" spans="1:31" s="15" customFormat="1" x14ac:dyDescent="0.25">
      <c r="A432" s="15"/>
      <c r="B432" s="16">
        <v>2</v>
      </c>
      <c r="C432" s="15"/>
      <c r="D432" s="17"/>
      <c r="E432" s="17"/>
      <c r="F432" s="17"/>
      <c r="G432" s="37"/>
      <c r="H432" s="37" t="s">
        <v>849</v>
      </c>
      <c r="I432" s="37"/>
      <c r="J432" s="38"/>
      <c r="K432" s="38"/>
      <c r="L432" s="16" t="s">
        <v>850</v>
      </c>
      <c r="M432" s="16">
        <f t="shared" si="30"/>
        <v>28</v>
      </c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37" t="s">
        <v>35</v>
      </c>
      <c r="AE432" s="16"/>
    </row>
    <row r="433" spans="1:31" s="15" customFormat="1" x14ac:dyDescent="0.25">
      <c r="A433" s="15"/>
      <c r="B433" s="16">
        <v>2</v>
      </c>
      <c r="C433" s="15"/>
      <c r="D433" s="17"/>
      <c r="E433" s="17"/>
      <c r="F433" s="17"/>
      <c r="G433" s="37"/>
      <c r="H433" s="37" t="s">
        <v>851</v>
      </c>
      <c r="I433" s="37"/>
      <c r="J433" s="38"/>
      <c r="K433" s="38"/>
      <c r="L433" s="16" t="s">
        <v>852</v>
      </c>
      <c r="M433" s="16">
        <f t="shared" ref="M433:M508" si="41">LEN(L433)</f>
        <v>26</v>
      </c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37" t="s">
        <v>35</v>
      </c>
      <c r="AE433" s="16"/>
    </row>
    <row r="434" spans="1:31" s="18" customFormat="1" x14ac:dyDescent="0.25">
      <c r="A434" s="18"/>
      <c r="B434" s="19">
        <v>3</v>
      </c>
      <c r="C434" s="18"/>
      <c r="D434" s="20"/>
      <c r="E434" s="20"/>
      <c r="F434" s="20"/>
      <c r="G434" s="39"/>
      <c r="H434" s="39"/>
      <c r="I434" s="39" t="s">
        <v>202</v>
      </c>
      <c r="J434" s="39"/>
      <c r="K434" s="39"/>
      <c r="L434" s="19" t="s">
        <v>853</v>
      </c>
      <c r="M434" s="19">
        <f t="shared" si="41"/>
        <v>33</v>
      </c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41" t="s">
        <v>35</v>
      </c>
      <c r="AE434" s="41"/>
    </row>
    <row r="435" spans="1:31" s="15" customFormat="1" x14ac:dyDescent="0.25">
      <c r="A435" s="15"/>
      <c r="B435" s="16">
        <v>2</v>
      </c>
      <c r="C435" s="15"/>
      <c r="D435" s="17"/>
      <c r="E435" s="17"/>
      <c r="F435" s="17"/>
      <c r="G435" s="22"/>
      <c r="H435" s="22" t="s">
        <v>854</v>
      </c>
      <c r="I435" s="22"/>
      <c r="J435" s="22"/>
      <c r="K435" s="22"/>
      <c r="L435" s="22" t="s">
        <v>855</v>
      </c>
      <c r="M435" s="16">
        <f t="shared" si="41"/>
        <v>33</v>
      </c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37" t="s">
        <v>35</v>
      </c>
      <c r="AE435" s="16"/>
    </row>
    <row r="436" spans="1:31" s="15" customFormat="1" x14ac:dyDescent="0.25">
      <c r="A436" s="15"/>
      <c r="B436" s="16">
        <v>2</v>
      </c>
      <c r="C436" s="15"/>
      <c r="D436" s="17"/>
      <c r="E436" s="17"/>
      <c r="F436" s="17"/>
      <c r="G436" s="22"/>
      <c r="H436" s="22" t="s">
        <v>856</v>
      </c>
      <c r="I436" s="15"/>
      <c r="J436" s="22"/>
      <c r="K436" s="22"/>
      <c r="L436" s="22" t="s">
        <v>857</v>
      </c>
      <c r="M436" s="16">
        <f t="shared" si="41"/>
        <v>39</v>
      </c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37" t="s">
        <v>35</v>
      </c>
      <c r="AE436" s="16"/>
    </row>
    <row r="437" spans="1:31" s="15" customFormat="1" x14ac:dyDescent="0.25">
      <c r="A437" s="15"/>
      <c r="B437" s="16">
        <v>2</v>
      </c>
      <c r="C437" s="15"/>
      <c r="D437" s="17"/>
      <c r="E437" s="17"/>
      <c r="F437" s="17"/>
      <c r="G437" s="37"/>
      <c r="H437" s="37" t="s">
        <v>858</v>
      </c>
      <c r="I437" s="37"/>
      <c r="J437" s="38"/>
      <c r="K437" s="38"/>
      <c r="L437" s="16" t="s">
        <v>859</v>
      </c>
      <c r="M437" s="16">
        <f t="shared" si="41"/>
        <v>27</v>
      </c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37" t="s">
        <v>35</v>
      </c>
      <c r="AE437" s="16"/>
    </row>
    <row r="438" spans="1:31" s="18" customFormat="1" x14ac:dyDescent="0.25">
      <c r="A438" s="18"/>
      <c r="B438" s="19">
        <v>3</v>
      </c>
      <c r="C438" s="18"/>
      <c r="D438" s="20"/>
      <c r="E438" s="20"/>
      <c r="F438" s="20"/>
      <c r="G438" s="39"/>
      <c r="H438" s="39"/>
      <c r="I438" s="39" t="s">
        <v>860</v>
      </c>
      <c r="J438" s="39"/>
      <c r="K438" s="39"/>
      <c r="L438" s="39" t="s">
        <v>861</v>
      </c>
      <c r="M438" s="19">
        <f t="shared" si="41"/>
        <v>37</v>
      </c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41" t="s">
        <v>35</v>
      </c>
      <c r="AE438" s="41"/>
    </row>
    <row r="439" spans="1:31" s="18" customFormat="1" x14ac:dyDescent="0.25">
      <c r="A439" s="18"/>
      <c r="B439" s="19">
        <v>3</v>
      </c>
      <c r="C439" s="18"/>
      <c r="D439" s="20"/>
      <c r="E439" s="20"/>
      <c r="F439" s="20"/>
      <c r="G439" s="39"/>
      <c r="H439" s="39"/>
      <c r="I439" s="39" t="s">
        <v>862</v>
      </c>
      <c r="J439" s="39"/>
      <c r="K439" s="39"/>
      <c r="L439" s="39" t="s">
        <v>863</v>
      </c>
      <c r="M439" s="19">
        <f t="shared" si="41"/>
        <v>42</v>
      </c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41" t="s">
        <v>35</v>
      </c>
      <c r="AE439" s="41"/>
    </row>
    <row r="440" spans="1:31" s="13" customFormat="1" x14ac:dyDescent="0.25">
      <c r="A440" s="13"/>
      <c r="B440" s="14">
        <v>1</v>
      </c>
      <c r="C440" s="13">
        <v>5001</v>
      </c>
      <c r="D440" s="14" t="s">
        <v>31</v>
      </c>
      <c r="E440" s="14" t="s">
        <v>32</v>
      </c>
      <c r="F440" s="14" t="s">
        <v>34</v>
      </c>
      <c r="G440" s="35" t="s">
        <v>864</v>
      </c>
      <c r="H440" s="35"/>
      <c r="I440" s="35"/>
      <c r="J440" s="13" t="str">
        <f>(C440)&amp;"-"&amp;(D440)&amp;"-"&amp;(E440)&amp;"-"&amp;(F440)&amp;"-"&amp;(G440)</f>
        <v>5001-PM03-BR-BR1-35-24P513</v>
      </c>
      <c r="K440" s="14">
        <f>LEN(J440)</f>
        <v>26</v>
      </c>
      <c r="L440" s="35" t="s">
        <v>865</v>
      </c>
      <c r="M440" s="14">
        <f t="shared" si="41"/>
        <v>34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36" t="s">
        <v>35</v>
      </c>
      <c r="AE440" s="13"/>
    </row>
    <row r="441" spans="1:31" s="15" customFormat="1" x14ac:dyDescent="0.25">
      <c r="A441" s="15"/>
      <c r="B441" s="16">
        <v>2</v>
      </c>
      <c r="C441" s="15"/>
      <c r="D441" s="17"/>
      <c r="E441" s="17"/>
      <c r="F441" s="17"/>
      <c r="G441" s="42"/>
      <c r="H441" s="42" t="s">
        <v>864</v>
      </c>
      <c r="I441" s="42"/>
      <c r="J441" s="42"/>
      <c r="K441" s="42"/>
      <c r="L441" s="42" t="s">
        <v>866</v>
      </c>
      <c r="M441" s="16">
        <f t="shared" si="41"/>
        <v>18</v>
      </c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37" t="s">
        <v>35</v>
      </c>
      <c r="AE441" s="16"/>
    </row>
    <row r="442" spans="1:31" s="15" customFormat="1" x14ac:dyDescent="0.25">
      <c r="A442" s="15"/>
      <c r="B442" s="16">
        <v>2</v>
      </c>
      <c r="C442" s="15"/>
      <c r="D442" s="17"/>
      <c r="E442" s="17"/>
      <c r="F442" s="17"/>
      <c r="G442" s="42"/>
      <c r="H442" s="42" t="s">
        <v>867</v>
      </c>
      <c r="I442" s="15"/>
      <c r="J442" s="42"/>
      <c r="K442" s="42"/>
      <c r="L442" s="42" t="s">
        <v>868</v>
      </c>
      <c r="M442" s="16">
        <f t="shared" si="41"/>
        <v>40</v>
      </c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37" t="s">
        <v>35</v>
      </c>
      <c r="AE442" s="16"/>
    </row>
    <row r="443" spans="1:31" s="18" customFormat="1" x14ac:dyDescent="0.25">
      <c r="A443" s="18"/>
      <c r="B443" s="19">
        <v>3</v>
      </c>
      <c r="C443" s="18"/>
      <c r="D443" s="20"/>
      <c r="E443" s="20"/>
      <c r="F443" s="20"/>
      <c r="G443" s="39"/>
      <c r="H443" s="39"/>
      <c r="I443" s="39" t="s">
        <v>869</v>
      </c>
      <c r="J443" s="39"/>
      <c r="K443" s="39"/>
      <c r="L443" s="52" t="s">
        <v>870</v>
      </c>
      <c r="M443" s="19">
        <f t="shared" si="41"/>
        <v>46</v>
      </c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41" t="s">
        <v>35</v>
      </c>
      <c r="AE443" s="19"/>
    </row>
    <row r="444" spans="1:31" s="15" customFormat="1" x14ac:dyDescent="0.25">
      <c r="A444" s="15"/>
      <c r="B444" s="16">
        <v>2</v>
      </c>
      <c r="C444" s="15"/>
      <c r="D444" s="17"/>
      <c r="E444" s="17"/>
      <c r="F444" s="17"/>
      <c r="G444" s="37"/>
      <c r="H444" s="37" t="s">
        <v>206</v>
      </c>
      <c r="I444" s="37"/>
      <c r="J444" s="38"/>
      <c r="K444" s="38"/>
      <c r="L444" s="16" t="s">
        <v>871</v>
      </c>
      <c r="M444" s="16">
        <f t="shared" si="41"/>
        <v>26</v>
      </c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37" t="s">
        <v>35</v>
      </c>
      <c r="AE444" s="16"/>
    </row>
    <row r="445" spans="1:31" s="18" customFormat="1" x14ac:dyDescent="0.25">
      <c r="A445" s="18"/>
      <c r="B445" s="19">
        <v>3</v>
      </c>
      <c r="C445" s="18"/>
      <c r="D445" s="20"/>
      <c r="E445" s="20"/>
      <c r="F445" s="20"/>
      <c r="G445" s="39"/>
      <c r="H445" s="39"/>
      <c r="I445" s="39" t="s">
        <v>872</v>
      </c>
      <c r="J445" s="39"/>
      <c r="K445" s="39"/>
      <c r="L445" s="39" t="s">
        <v>873</v>
      </c>
      <c r="M445" s="19">
        <f t="shared" si="41"/>
        <v>43</v>
      </c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41" t="s">
        <v>35</v>
      </c>
      <c r="AE445" s="41"/>
    </row>
    <row r="446" spans="1:31" s="18" customFormat="1" x14ac:dyDescent="0.25">
      <c r="A446" s="18"/>
      <c r="B446" s="19">
        <v>3</v>
      </c>
      <c r="C446" s="18"/>
      <c r="D446" s="20"/>
      <c r="E446" s="20"/>
      <c r="F446" s="20"/>
      <c r="G446" s="39"/>
      <c r="H446" s="39"/>
      <c r="I446" s="39" t="s">
        <v>215</v>
      </c>
      <c r="J446" s="39"/>
      <c r="K446" s="39"/>
      <c r="L446" s="39" t="s">
        <v>874</v>
      </c>
      <c r="M446" s="19">
        <f t="shared" si="41"/>
        <v>40</v>
      </c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41" t="s">
        <v>35</v>
      </c>
      <c r="AE446" s="41"/>
    </row>
    <row r="447" spans="1:31" s="18" customFormat="1" x14ac:dyDescent="0.25">
      <c r="A447" s="18"/>
      <c r="B447" s="19">
        <v>3</v>
      </c>
      <c r="C447" s="18"/>
      <c r="D447" s="20"/>
      <c r="E447" s="20"/>
      <c r="F447" s="20"/>
      <c r="G447" s="39"/>
      <c r="H447" s="39"/>
      <c r="I447" s="39" t="s">
        <v>875</v>
      </c>
      <c r="J447" s="39"/>
      <c r="K447" s="39"/>
      <c r="L447" s="39" t="s">
        <v>876</v>
      </c>
      <c r="M447" s="19">
        <f t="shared" si="41"/>
        <v>39</v>
      </c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41" t="s">
        <v>35</v>
      </c>
      <c r="AE447" s="41"/>
    </row>
    <row r="448" spans="1:31" s="18" customFormat="1" x14ac:dyDescent="0.25">
      <c r="A448" s="18"/>
      <c r="B448" s="19">
        <v>3</v>
      </c>
      <c r="C448" s="18"/>
      <c r="D448" s="20"/>
      <c r="E448" s="20"/>
      <c r="F448" s="20"/>
      <c r="G448" s="39"/>
      <c r="H448" s="39"/>
      <c r="I448" s="39" t="s">
        <v>877</v>
      </c>
      <c r="J448" s="39"/>
      <c r="K448" s="39"/>
      <c r="L448" s="39" t="s">
        <v>878</v>
      </c>
      <c r="M448" s="19">
        <f t="shared" si="41"/>
        <v>37</v>
      </c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41" t="s">
        <v>35</v>
      </c>
      <c r="AE448" s="41"/>
    </row>
    <row r="449" spans="1:31" s="18" customFormat="1" x14ac:dyDescent="0.25">
      <c r="A449" s="18"/>
      <c r="B449" s="19">
        <v>3</v>
      </c>
      <c r="C449" s="18"/>
      <c r="D449" s="20"/>
      <c r="E449" s="20"/>
      <c r="F449" s="20"/>
      <c r="G449" s="39"/>
      <c r="H449" s="39"/>
      <c r="I449" s="39" t="s">
        <v>879</v>
      </c>
      <c r="J449" s="39"/>
      <c r="K449" s="39"/>
      <c r="L449" s="39" t="s">
        <v>880</v>
      </c>
      <c r="M449" s="19">
        <f t="shared" si="41"/>
        <v>40</v>
      </c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41" t="s">
        <v>35</v>
      </c>
      <c r="AE449" s="41"/>
    </row>
    <row r="450" spans="1:31" s="18" customFormat="1" x14ac:dyDescent="0.25">
      <c r="A450" s="18"/>
      <c r="B450" s="19">
        <v>3</v>
      </c>
      <c r="C450" s="18"/>
      <c r="D450" s="20"/>
      <c r="E450" s="20"/>
      <c r="F450" s="20"/>
      <c r="G450" s="39"/>
      <c r="H450" s="39"/>
      <c r="I450" s="39" t="s">
        <v>881</v>
      </c>
      <c r="J450" s="39"/>
      <c r="K450" s="39"/>
      <c r="L450" s="39" t="s">
        <v>882</v>
      </c>
      <c r="M450" s="19">
        <f t="shared" si="41"/>
        <v>24</v>
      </c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41" t="s">
        <v>35</v>
      </c>
      <c r="AE450" s="41"/>
    </row>
    <row r="451" spans="1:31" s="18" customFormat="1" x14ac:dyDescent="0.25">
      <c r="A451" s="18"/>
      <c r="B451" s="19">
        <v>3</v>
      </c>
      <c r="C451" s="18"/>
      <c r="D451" s="20"/>
      <c r="E451" s="20"/>
      <c r="F451" s="20"/>
      <c r="G451" s="39"/>
      <c r="H451" s="39"/>
      <c r="I451" s="39" t="s">
        <v>883</v>
      </c>
      <c r="J451" s="39"/>
      <c r="K451" s="39"/>
      <c r="L451" s="39" t="s">
        <v>884</v>
      </c>
      <c r="M451" s="19">
        <f>LEN(L451)</f>
        <v>31</v>
      </c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41" t="s">
        <v>35</v>
      </c>
      <c r="AE451" s="41"/>
    </row>
    <row r="452" spans="1:31" s="18" customFormat="1" x14ac:dyDescent="0.25">
      <c r="A452" s="18"/>
      <c r="B452" s="19">
        <v>3</v>
      </c>
      <c r="C452" s="18"/>
      <c r="D452" s="20"/>
      <c r="E452" s="20"/>
      <c r="F452" s="20"/>
      <c r="G452" s="39"/>
      <c r="H452" s="39"/>
      <c r="I452" s="39" t="s">
        <v>885</v>
      </c>
      <c r="J452" s="39"/>
      <c r="K452" s="39"/>
      <c r="L452" s="39" t="s">
        <v>886</v>
      </c>
      <c r="M452" s="19">
        <f>LEN(L452)</f>
        <v>26</v>
      </c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41" t="s">
        <v>35</v>
      </c>
      <c r="AE452" s="41"/>
    </row>
    <row r="453" spans="1:31" s="18" customFormat="1" x14ac:dyDescent="0.25">
      <c r="A453" s="18"/>
      <c r="B453" s="19">
        <v>3</v>
      </c>
      <c r="C453" s="18"/>
      <c r="D453" s="20"/>
      <c r="E453" s="20"/>
      <c r="F453" s="20"/>
      <c r="G453" s="39"/>
      <c r="H453" s="39"/>
      <c r="I453" s="39" t="s">
        <v>887</v>
      </c>
      <c r="J453" s="39"/>
      <c r="K453" s="39"/>
      <c r="L453" s="39" t="s">
        <v>888</v>
      </c>
      <c r="M453" s="19">
        <f>LEN(L453)</f>
        <v>31</v>
      </c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41" t="s">
        <v>35</v>
      </c>
      <c r="AE453" s="41"/>
    </row>
    <row r="454" spans="1:31" s="18" customFormat="1" x14ac:dyDescent="0.25">
      <c r="A454" s="18"/>
      <c r="B454" s="19">
        <v>3</v>
      </c>
      <c r="C454" s="18"/>
      <c r="D454" s="20"/>
      <c r="E454" s="20"/>
      <c r="F454" s="20"/>
      <c r="G454" s="39"/>
      <c r="H454" s="39"/>
      <c r="I454" s="39" t="s">
        <v>889</v>
      </c>
      <c r="J454" s="39"/>
      <c r="K454" s="39"/>
      <c r="L454" s="39" t="s">
        <v>890</v>
      </c>
      <c r="M454" s="19">
        <f>LEN(L454)</f>
        <v>45</v>
      </c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41" t="s">
        <v>35</v>
      </c>
      <c r="AE454" s="41"/>
    </row>
    <row r="455" spans="1:31" s="15" customFormat="1" x14ac:dyDescent="0.25">
      <c r="A455" s="15"/>
      <c r="B455" s="16">
        <v>2</v>
      </c>
      <c r="C455" s="15"/>
      <c r="D455" s="17"/>
      <c r="E455" s="17"/>
      <c r="F455" s="17"/>
      <c r="G455" s="37"/>
      <c r="H455" s="37" t="s">
        <v>891</v>
      </c>
      <c r="I455" s="37"/>
      <c r="J455" s="38"/>
      <c r="K455" s="38"/>
      <c r="L455" s="16" t="s">
        <v>892</v>
      </c>
      <c r="M455" s="16">
        <f t="shared" si="41"/>
        <v>27</v>
      </c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37" t="s">
        <v>35</v>
      </c>
      <c r="AE455" s="16"/>
    </row>
    <row r="456" spans="1:31" s="18" customFormat="1" x14ac:dyDescent="0.25">
      <c r="A456" s="18"/>
      <c r="B456" s="19">
        <v>3</v>
      </c>
      <c r="C456" s="18"/>
      <c r="D456" s="20"/>
      <c r="E456" s="20"/>
      <c r="F456" s="20"/>
      <c r="G456" s="39"/>
      <c r="H456" s="39"/>
      <c r="I456" s="39" t="s">
        <v>186</v>
      </c>
      <c r="J456" s="39"/>
      <c r="K456" s="39"/>
      <c r="L456" s="39" t="s">
        <v>893</v>
      </c>
      <c r="M456" s="19">
        <f t="shared" si="41"/>
        <v>37</v>
      </c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41" t="s">
        <v>35</v>
      </c>
      <c r="AE456" s="41"/>
    </row>
    <row r="457" spans="1:31" s="18" customFormat="1" x14ac:dyDescent="0.25">
      <c r="A457" s="18"/>
      <c r="B457" s="19">
        <v>3</v>
      </c>
      <c r="C457" s="18"/>
      <c r="D457" s="20"/>
      <c r="E457" s="20"/>
      <c r="F457" s="20"/>
      <c r="G457" s="39"/>
      <c r="H457" s="39"/>
      <c r="I457" s="39" t="s">
        <v>894</v>
      </c>
      <c r="J457" s="39"/>
      <c r="K457" s="39"/>
      <c r="L457" s="39" t="s">
        <v>895</v>
      </c>
      <c r="M457" s="19">
        <f t="shared" si="41"/>
        <v>41</v>
      </c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41" t="s">
        <v>35</v>
      </c>
      <c r="AE457" s="41"/>
    </row>
    <row r="458" spans="1:31" s="13" customFormat="1" x14ac:dyDescent="0.25">
      <c r="A458" s="13"/>
      <c r="B458" s="14">
        <v>1</v>
      </c>
      <c r="C458" s="13">
        <v>5001</v>
      </c>
      <c r="D458" s="14" t="s">
        <v>31</v>
      </c>
      <c r="E458" s="14" t="s">
        <v>32</v>
      </c>
      <c r="F458" s="14" t="s">
        <v>34</v>
      </c>
      <c r="G458" s="35" t="s">
        <v>896</v>
      </c>
      <c r="H458" s="35"/>
      <c r="I458" s="35"/>
      <c r="J458" s="13" t="str">
        <f>(C458)&amp;"-"&amp;(D458)&amp;"-"&amp;(E458)&amp;"-"&amp;(F458)&amp;"-"&amp;(G458)</f>
        <v>5001-PM03-BR-BR1-35-24P515</v>
      </c>
      <c r="K458" s="14">
        <f>LEN(J458)</f>
        <v>26</v>
      </c>
      <c r="L458" s="35" t="s">
        <v>897</v>
      </c>
      <c r="M458" s="14">
        <f t="shared" si="41"/>
        <v>31</v>
      </c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36" t="s">
        <v>35</v>
      </c>
      <c r="AE458" s="13"/>
    </row>
    <row r="459" spans="1:31" s="15" customFormat="1" x14ac:dyDescent="0.25">
      <c r="A459" s="15"/>
      <c r="B459" s="16">
        <v>2</v>
      </c>
      <c r="C459" s="15"/>
      <c r="D459" s="17"/>
      <c r="E459" s="17"/>
      <c r="F459" s="17"/>
      <c r="G459" s="42"/>
      <c r="H459" s="42" t="s">
        <v>896</v>
      </c>
      <c r="I459" s="42"/>
      <c r="J459" s="42"/>
      <c r="K459" s="42"/>
      <c r="L459" s="42" t="s">
        <v>898</v>
      </c>
      <c r="M459" s="16">
        <f t="shared" si="41"/>
        <v>18</v>
      </c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37" t="s">
        <v>35</v>
      </c>
      <c r="AE459" s="16"/>
    </row>
    <row r="460" spans="1:31" s="15" customFormat="1" x14ac:dyDescent="0.25">
      <c r="A460" s="15"/>
      <c r="B460" s="16">
        <v>2</v>
      </c>
      <c r="C460" s="15"/>
      <c r="D460" s="17"/>
      <c r="E460" s="17"/>
      <c r="F460" s="17"/>
      <c r="G460" s="42"/>
      <c r="H460" s="42" t="s">
        <v>899</v>
      </c>
      <c r="I460" s="15"/>
      <c r="J460" s="42"/>
      <c r="K460" s="42"/>
      <c r="L460" s="42" t="s">
        <v>900</v>
      </c>
      <c r="M460" s="16">
        <f t="shared" si="41"/>
        <v>37</v>
      </c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37" t="s">
        <v>35</v>
      </c>
      <c r="AE460" s="16"/>
    </row>
    <row r="461" spans="1:31" s="15" customFormat="1" x14ac:dyDescent="0.25">
      <c r="A461" s="15"/>
      <c r="B461" s="16">
        <v>2</v>
      </c>
      <c r="C461" s="15"/>
      <c r="D461" s="17"/>
      <c r="E461" s="17"/>
      <c r="F461" s="17"/>
      <c r="G461" s="37"/>
      <c r="H461" s="37" t="s">
        <v>901</v>
      </c>
      <c r="I461" s="37"/>
      <c r="J461" s="38"/>
      <c r="K461" s="38"/>
      <c r="L461" s="16" t="s">
        <v>902</v>
      </c>
      <c r="M461" s="16">
        <f t="shared" si="41"/>
        <v>26</v>
      </c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37" t="s">
        <v>35</v>
      </c>
      <c r="AE461" s="16"/>
    </row>
    <row r="462" spans="1:31" s="18" customFormat="1" x14ac:dyDescent="0.25">
      <c r="A462" s="18"/>
      <c r="B462" s="19">
        <v>3</v>
      </c>
      <c r="C462" s="18"/>
      <c r="D462" s="20"/>
      <c r="E462" s="20"/>
      <c r="F462" s="20"/>
      <c r="G462" s="39"/>
      <c r="H462" s="39"/>
      <c r="I462" s="39" t="s">
        <v>903</v>
      </c>
      <c r="J462" s="39"/>
      <c r="K462" s="39"/>
      <c r="L462" s="39" t="s">
        <v>904</v>
      </c>
      <c r="M462" s="19">
        <f t="shared" si="41"/>
        <v>42</v>
      </c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41" t="s">
        <v>35</v>
      </c>
      <c r="AE462" s="41"/>
    </row>
    <row r="463" spans="1:31" s="18" customFormat="1" x14ac:dyDescent="0.25">
      <c r="A463" s="18"/>
      <c r="B463" s="19">
        <v>3</v>
      </c>
      <c r="C463" s="18"/>
      <c r="D463" s="20"/>
      <c r="E463" s="20"/>
      <c r="F463" s="20"/>
      <c r="G463" s="39"/>
      <c r="H463" s="39"/>
      <c r="I463" s="39" t="s">
        <v>905</v>
      </c>
      <c r="J463" s="39"/>
      <c r="K463" s="39"/>
      <c r="L463" s="39" t="s">
        <v>906</v>
      </c>
      <c r="M463" s="19">
        <f t="shared" si="41"/>
        <v>39</v>
      </c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41" t="s">
        <v>35</v>
      </c>
      <c r="AE463" s="41"/>
    </row>
    <row r="464" spans="1:31" s="18" customFormat="1" x14ac:dyDescent="0.25">
      <c r="A464" s="18"/>
      <c r="B464" s="19">
        <v>3</v>
      </c>
      <c r="C464" s="18"/>
      <c r="D464" s="20"/>
      <c r="E464" s="20"/>
      <c r="F464" s="20"/>
      <c r="G464" s="39"/>
      <c r="H464" s="39"/>
      <c r="I464" s="39" t="s">
        <v>907</v>
      </c>
      <c r="J464" s="39"/>
      <c r="K464" s="39"/>
      <c r="L464" s="39" t="s">
        <v>908</v>
      </c>
      <c r="M464" s="19">
        <f t="shared" si="41"/>
        <v>37</v>
      </c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41" t="s">
        <v>35</v>
      </c>
      <c r="AE464" s="41"/>
    </row>
    <row r="465" spans="1:31" s="18" customFormat="1" x14ac:dyDescent="0.25">
      <c r="A465" s="18"/>
      <c r="B465" s="19">
        <v>3</v>
      </c>
      <c r="C465" s="18"/>
      <c r="D465" s="20"/>
      <c r="E465" s="20"/>
      <c r="F465" s="20"/>
      <c r="G465" s="39"/>
      <c r="H465" s="39"/>
      <c r="I465" s="39" t="s">
        <v>909</v>
      </c>
      <c r="J465" s="39"/>
      <c r="K465" s="39"/>
      <c r="L465" s="39" t="s">
        <v>910</v>
      </c>
      <c r="M465" s="19">
        <f t="shared" si="41"/>
        <v>41</v>
      </c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41" t="s">
        <v>35</v>
      </c>
      <c r="AE465" s="41"/>
    </row>
    <row r="466" spans="1:31" s="18" customFormat="1" x14ac:dyDescent="0.25">
      <c r="A466" s="18"/>
      <c r="B466" s="19">
        <v>3</v>
      </c>
      <c r="C466" s="18"/>
      <c r="D466" s="20"/>
      <c r="E466" s="20"/>
      <c r="F466" s="20"/>
      <c r="G466" s="39"/>
      <c r="H466" s="39"/>
      <c r="I466" s="39" t="s">
        <v>869</v>
      </c>
      <c r="J466" s="39"/>
      <c r="K466" s="39"/>
      <c r="L466" s="39" t="s">
        <v>911</v>
      </c>
      <c r="M466" s="19">
        <f t="shared" si="41"/>
        <v>28</v>
      </c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41" t="s">
        <v>35</v>
      </c>
      <c r="AE466" s="41"/>
    </row>
    <row r="467" spans="1:31" s="13" customFormat="1" x14ac:dyDescent="0.25">
      <c r="A467" s="13"/>
      <c r="B467" s="14">
        <v>1</v>
      </c>
      <c r="C467" s="13">
        <v>5001</v>
      </c>
      <c r="D467" s="14" t="s">
        <v>31</v>
      </c>
      <c r="E467" s="14" t="s">
        <v>32</v>
      </c>
      <c r="F467" s="14" t="s">
        <v>34</v>
      </c>
      <c r="G467" s="14" t="s">
        <v>912</v>
      </c>
      <c r="H467" s="14"/>
      <c r="I467" s="14"/>
      <c r="J467" s="13" t="str">
        <f>(C467)&amp;"-"&amp;(D467)&amp;"-"&amp;(E467)&amp;"-"&amp;(F467)&amp;"-"&amp;(G467)</f>
        <v>5001-PM03-BR-BR1-35-24L010</v>
      </c>
      <c r="K467" s="14">
        <f>LEN(J467)</f>
        <v>26</v>
      </c>
      <c r="L467" s="14" t="s">
        <v>913</v>
      </c>
      <c r="M467" s="14">
        <f t="shared" si="41"/>
        <v>23</v>
      </c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4" t="s">
        <v>35</v>
      </c>
      <c r="AE467" s="14"/>
    </row>
    <row r="468" spans="1:31" s="15" customFormat="1" x14ac:dyDescent="0.25">
      <c r="A468" s="15"/>
      <c r="B468" s="16">
        <v>2</v>
      </c>
      <c r="C468" s="15"/>
      <c r="D468" s="17"/>
      <c r="E468" s="17"/>
      <c r="F468" s="17"/>
      <c r="G468" s="16"/>
      <c r="H468" s="16" t="s">
        <v>914</v>
      </c>
      <c r="I468" s="16"/>
      <c r="J468" s="16"/>
      <c r="K468" s="16"/>
      <c r="L468" s="16" t="s">
        <v>915</v>
      </c>
      <c r="M468" s="16">
        <f t="shared" si="41"/>
        <v>44</v>
      </c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37" t="s">
        <v>35</v>
      </c>
      <c r="AE468" s="16"/>
    </row>
    <row r="469" spans="1:31" s="15" customFormat="1" x14ac:dyDescent="0.25">
      <c r="A469" s="15"/>
      <c r="B469" s="16">
        <v>2</v>
      </c>
      <c r="C469" s="15"/>
      <c r="D469" s="17"/>
      <c r="E469" s="17"/>
      <c r="F469" s="17"/>
      <c r="G469" s="16"/>
      <c r="H469" s="16" t="s">
        <v>916</v>
      </c>
      <c r="I469" s="16"/>
      <c r="J469" s="16"/>
      <c r="K469" s="16"/>
      <c r="L469" s="16" t="s">
        <v>917</v>
      </c>
      <c r="M469" s="16">
        <f t="shared" si="41"/>
        <v>28</v>
      </c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37" t="s">
        <v>35</v>
      </c>
      <c r="AE469" s="16"/>
    </row>
    <row r="470" spans="1:31" s="15" customFormat="1" x14ac:dyDescent="0.25">
      <c r="A470" s="15"/>
      <c r="B470" s="16">
        <v>2</v>
      </c>
      <c r="C470" s="15"/>
      <c r="D470" s="17"/>
      <c r="E470" s="17"/>
      <c r="F470" s="17"/>
      <c r="G470" s="37"/>
      <c r="H470" s="37" t="s">
        <v>918</v>
      </c>
      <c r="I470" s="37"/>
      <c r="J470" s="38"/>
      <c r="K470" s="38"/>
      <c r="L470" s="16" t="s">
        <v>919</v>
      </c>
      <c r="M470" s="16">
        <f t="shared" si="41"/>
        <v>29</v>
      </c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37" t="s">
        <v>35</v>
      </c>
      <c r="AE470" s="16"/>
    </row>
    <row r="471" spans="1:31" s="18" customFormat="1" x14ac:dyDescent="0.25">
      <c r="A471" s="18"/>
      <c r="B471" s="19">
        <v>3</v>
      </c>
      <c r="C471" s="18"/>
      <c r="D471" s="20"/>
      <c r="E471" s="20"/>
      <c r="F471" s="20"/>
      <c r="G471" s="39"/>
      <c r="H471" s="39"/>
      <c r="I471" s="39" t="s">
        <v>920</v>
      </c>
      <c r="J471" s="39"/>
      <c r="K471" s="39"/>
      <c r="L471" s="39" t="s">
        <v>921</v>
      </c>
      <c r="M471" s="19">
        <f t="shared" si="41"/>
        <v>36</v>
      </c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41" t="s">
        <v>35</v>
      </c>
      <c r="AE471" s="41"/>
    </row>
    <row r="472" spans="1:31" s="15" customFormat="1" x14ac:dyDescent="0.25">
      <c r="A472" s="15"/>
      <c r="B472" s="16">
        <v>2</v>
      </c>
      <c r="C472" s="15"/>
      <c r="D472" s="17"/>
      <c r="E472" s="17"/>
      <c r="F472" s="17"/>
      <c r="G472" s="37"/>
      <c r="H472" s="37" t="s">
        <v>922</v>
      </c>
      <c r="I472" s="37"/>
      <c r="J472" s="38"/>
      <c r="K472" s="38"/>
      <c r="L472" s="16" t="s">
        <v>923</v>
      </c>
      <c r="M472" s="16">
        <f t="shared" si="41"/>
        <v>32</v>
      </c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37" t="s">
        <v>35</v>
      </c>
      <c r="AE472" s="16"/>
    </row>
    <row r="473" spans="1:31" s="18" customFormat="1" x14ac:dyDescent="0.25">
      <c r="A473" s="18"/>
      <c r="B473" s="19">
        <v>3</v>
      </c>
      <c r="C473" s="18"/>
      <c r="D473" s="20"/>
      <c r="E473" s="20"/>
      <c r="F473" s="20"/>
      <c r="G473" s="41"/>
      <c r="H473" s="41"/>
      <c r="I473" s="41" t="s">
        <v>924</v>
      </c>
      <c r="J473" s="39"/>
      <c r="K473" s="39"/>
      <c r="L473" s="19" t="s">
        <v>925</v>
      </c>
      <c r="M473" s="19">
        <f t="shared" si="41"/>
        <v>45</v>
      </c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41" t="s">
        <v>35</v>
      </c>
      <c r="AE473" s="41"/>
    </row>
    <row r="474" spans="1:31" s="18" customFormat="1" x14ac:dyDescent="0.25">
      <c r="A474" s="18"/>
      <c r="B474" s="19">
        <v>3</v>
      </c>
      <c r="C474" s="18"/>
      <c r="D474" s="20"/>
      <c r="E474" s="20"/>
      <c r="F474" s="20"/>
      <c r="G474" s="18"/>
      <c r="H474" s="41"/>
      <c r="I474" s="41" t="s">
        <v>926</v>
      </c>
      <c r="J474" s="39"/>
      <c r="K474" s="39"/>
      <c r="L474" s="19" t="s">
        <v>927</v>
      </c>
      <c r="M474" s="19">
        <f t="shared" si="41"/>
        <v>39</v>
      </c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41" t="s">
        <v>35</v>
      </c>
      <c r="AE474" s="41"/>
    </row>
    <row r="475" spans="1:31" s="18" customFormat="1" x14ac:dyDescent="0.25">
      <c r="A475" s="18"/>
      <c r="B475" s="19">
        <v>3</v>
      </c>
      <c r="C475" s="18"/>
      <c r="D475" s="20"/>
      <c r="E475" s="20"/>
      <c r="F475" s="20"/>
      <c r="G475" s="39"/>
      <c r="H475" s="39"/>
      <c r="I475" s="39" t="s">
        <v>105</v>
      </c>
      <c r="J475" s="39"/>
      <c r="K475" s="39"/>
      <c r="L475" s="19" t="s">
        <v>928</v>
      </c>
      <c r="M475" s="19">
        <f t="shared" si="41"/>
        <v>48</v>
      </c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41" t="s">
        <v>35</v>
      </c>
      <c r="AE475" s="41"/>
    </row>
    <row r="476" spans="1:31" s="15" customFormat="1" x14ac:dyDescent="0.25">
      <c r="A476" s="15"/>
      <c r="B476" s="16">
        <v>2</v>
      </c>
      <c r="C476" s="15"/>
      <c r="D476" s="17"/>
      <c r="E476" s="17"/>
      <c r="F476" s="17"/>
      <c r="G476" s="37"/>
      <c r="H476" s="37" t="s">
        <v>929</v>
      </c>
      <c r="I476" s="37"/>
      <c r="J476" s="38"/>
      <c r="K476" s="38"/>
      <c r="L476" s="16" t="s">
        <v>930</v>
      </c>
      <c r="M476" s="16">
        <f t="shared" si="41"/>
        <v>35</v>
      </c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37" t="s">
        <v>35</v>
      </c>
      <c r="AE476" s="16"/>
    </row>
    <row r="477" spans="1:31" s="18" customFormat="1" x14ac:dyDescent="0.25">
      <c r="A477" s="18"/>
      <c r="B477" s="19">
        <v>3</v>
      </c>
      <c r="C477" s="18"/>
      <c r="D477" s="20"/>
      <c r="E477" s="20"/>
      <c r="F477" s="20"/>
      <c r="G477" s="41"/>
      <c r="H477" s="41"/>
      <c r="I477" s="41" t="s">
        <v>931</v>
      </c>
      <c r="J477" s="39"/>
      <c r="K477" s="39"/>
      <c r="L477" s="19" t="s">
        <v>932</v>
      </c>
      <c r="M477" s="19">
        <f t="shared" si="41"/>
        <v>48</v>
      </c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41" t="s">
        <v>35</v>
      </c>
      <c r="AE477" s="41"/>
    </row>
    <row r="478" spans="1:31" s="18" customFormat="1" x14ac:dyDescent="0.25">
      <c r="A478" s="18"/>
      <c r="B478" s="19">
        <v>3</v>
      </c>
      <c r="C478" s="18"/>
      <c r="D478" s="20"/>
      <c r="E478" s="20"/>
      <c r="F478" s="20"/>
      <c r="G478" s="41"/>
      <c r="H478" s="41"/>
      <c r="I478" s="41" t="s">
        <v>933</v>
      </c>
      <c r="J478" s="39"/>
      <c r="K478" s="39"/>
      <c r="L478" s="19" t="s">
        <v>934</v>
      </c>
      <c r="M478" s="19">
        <f t="shared" si="41"/>
        <v>35</v>
      </c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41" t="s">
        <v>35</v>
      </c>
      <c r="AE478" s="41"/>
    </row>
    <row r="479" spans="1:31" s="15" customFormat="1" x14ac:dyDescent="0.25">
      <c r="A479" s="15"/>
      <c r="B479" s="16">
        <v>2</v>
      </c>
      <c r="C479" s="15"/>
      <c r="D479" s="17"/>
      <c r="E479" s="17"/>
      <c r="F479" s="17"/>
      <c r="G479" s="37"/>
      <c r="H479" s="37" t="s">
        <v>935</v>
      </c>
      <c r="I479" s="37"/>
      <c r="J479" s="38"/>
      <c r="K479" s="38"/>
      <c r="L479" s="16" t="s">
        <v>936</v>
      </c>
      <c r="M479" s="16">
        <f t="shared" si="41"/>
        <v>37</v>
      </c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37" t="s">
        <v>35</v>
      </c>
      <c r="AE479" s="16"/>
    </row>
    <row r="480" spans="1:31" s="18" customFormat="1" x14ac:dyDescent="0.25">
      <c r="A480" s="18"/>
      <c r="B480" s="19">
        <v>3</v>
      </c>
      <c r="C480" s="18"/>
      <c r="D480" s="20"/>
      <c r="E480" s="20"/>
      <c r="F480" s="20"/>
      <c r="G480" s="41"/>
      <c r="H480" s="41"/>
      <c r="I480" s="41" t="s">
        <v>937</v>
      </c>
      <c r="J480" s="39"/>
      <c r="K480" s="39"/>
      <c r="L480" s="19" t="s">
        <v>938</v>
      </c>
      <c r="M480" s="19">
        <f t="shared" si="41"/>
        <v>45</v>
      </c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41" t="s">
        <v>35</v>
      </c>
      <c r="AE480" s="41"/>
    </row>
    <row r="481" spans="1:31" s="18" customFormat="1" x14ac:dyDescent="0.25">
      <c r="A481" s="18"/>
      <c r="B481" s="19">
        <v>3</v>
      </c>
      <c r="C481" s="18"/>
      <c r="D481" s="20"/>
      <c r="E481" s="20"/>
      <c r="F481" s="20"/>
      <c r="G481" s="41"/>
      <c r="H481" s="41"/>
      <c r="I481" s="41" t="s">
        <v>939</v>
      </c>
      <c r="J481" s="39"/>
      <c r="K481" s="39"/>
      <c r="L481" s="19" t="s">
        <v>940</v>
      </c>
      <c r="M481" s="19">
        <f t="shared" si="41"/>
        <v>36</v>
      </c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41" t="s">
        <v>35</v>
      </c>
      <c r="AE481" s="41"/>
    </row>
    <row r="482" spans="1:31" s="18" customFormat="1" x14ac:dyDescent="0.25">
      <c r="A482" s="18"/>
      <c r="B482" s="19">
        <v>3</v>
      </c>
      <c r="C482" s="18"/>
      <c r="D482" s="20"/>
      <c r="E482" s="20"/>
      <c r="F482" s="20"/>
      <c r="G482" s="41"/>
      <c r="H482" s="41"/>
      <c r="I482" s="41" t="s">
        <v>941</v>
      </c>
      <c r="J482" s="39"/>
      <c r="K482" s="39"/>
      <c r="L482" s="41" t="s">
        <v>942</v>
      </c>
      <c r="M482" s="19">
        <f t="shared" si="41"/>
        <v>31</v>
      </c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41" t="s">
        <v>35</v>
      </c>
      <c r="AE482" s="41"/>
    </row>
    <row r="483" spans="1:31" s="13" customFormat="1" x14ac:dyDescent="0.25">
      <c r="A483" s="13"/>
      <c r="B483" s="14">
        <v>1</v>
      </c>
      <c r="C483" s="13">
        <v>5001</v>
      </c>
      <c r="D483" s="14" t="s">
        <v>31</v>
      </c>
      <c r="E483" s="14" t="s">
        <v>32</v>
      </c>
      <c r="F483" s="14" t="s">
        <v>34</v>
      </c>
      <c r="G483" s="35" t="s">
        <v>943</v>
      </c>
      <c r="H483" s="35"/>
      <c r="I483" s="35"/>
      <c r="J483" s="13" t="str">
        <f>(C483)&amp;"-"&amp;(D483)&amp;"-"&amp;(E483)&amp;"-"&amp;(F483)&amp;"-"&amp;(G483)</f>
        <v>5001-PM03-BR-BR1-35-24KJ-688</v>
      </c>
      <c r="K483" s="14">
        <f>LEN(J483)</f>
        <v>28</v>
      </c>
      <c r="L483" s="35" t="s">
        <v>944</v>
      </c>
      <c r="M483" s="14">
        <f t="shared" si="41"/>
        <v>43</v>
      </c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35" t="s">
        <v>35</v>
      </c>
      <c r="AE483" s="14"/>
    </row>
    <row r="484" spans="1:31" s="13" customFormat="1" x14ac:dyDescent="0.25">
      <c r="A484" s="13"/>
      <c r="B484" s="14">
        <v>1</v>
      </c>
      <c r="C484" s="13">
        <v>5001</v>
      </c>
      <c r="D484" s="14" t="s">
        <v>31</v>
      </c>
      <c r="E484" s="14" t="s">
        <v>32</v>
      </c>
      <c r="F484" s="14" t="s">
        <v>34</v>
      </c>
      <c r="G484" s="35" t="s">
        <v>945</v>
      </c>
      <c r="H484" s="35"/>
      <c r="I484" s="35"/>
      <c r="J484" s="13" t="str">
        <f>(C484)&amp;"-"&amp;(D484)&amp;"-"&amp;(E484)&amp;"-"&amp;(F484)&amp;"-"&amp;(G484)</f>
        <v>5001-PM03-BR-BR1-35-24KJ-689</v>
      </c>
      <c r="K484" s="14">
        <f>LEN(J484)</f>
        <v>28</v>
      </c>
      <c r="L484" s="35" t="s">
        <v>946</v>
      </c>
      <c r="M484" s="14">
        <f t="shared" si="41"/>
        <v>42</v>
      </c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35" t="s">
        <v>35</v>
      </c>
      <c r="AE484" s="14"/>
    </row>
    <row r="485" spans="1:31" s="13" customFormat="1" x14ac:dyDescent="0.25">
      <c r="A485" s="13"/>
      <c r="B485" s="14">
        <v>1</v>
      </c>
      <c r="C485" s="13">
        <v>5001</v>
      </c>
      <c r="D485" s="14" t="s">
        <v>31</v>
      </c>
      <c r="E485" s="14" t="s">
        <v>32</v>
      </c>
      <c r="F485" s="14" t="s">
        <v>34</v>
      </c>
      <c r="G485" s="35" t="s">
        <v>947</v>
      </c>
      <c r="H485" s="35"/>
      <c r="I485" s="35"/>
      <c r="J485" s="13" t="str">
        <f>(C485)&amp;"-"&amp;(D485)&amp;"-"&amp;(E485)&amp;"-"&amp;(F485)&amp;"-"&amp;(G485)</f>
        <v>5001-PM03-BR-BR1-35-24T606</v>
      </c>
      <c r="K485" s="14">
        <f>LEN(J485)</f>
        <v>26</v>
      </c>
      <c r="L485" s="35" t="s">
        <v>948</v>
      </c>
      <c r="M485" s="14">
        <f t="shared" si="41"/>
        <v>26</v>
      </c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35" t="s">
        <v>35</v>
      </c>
      <c r="AE485" s="14"/>
    </row>
    <row r="486" spans="1:31" s="15" customFormat="1" x14ac:dyDescent="0.25">
      <c r="A486" s="15"/>
      <c r="B486" s="16">
        <v>2</v>
      </c>
      <c r="C486" s="15"/>
      <c r="D486" s="17"/>
      <c r="E486" s="17"/>
      <c r="F486" s="17"/>
      <c r="G486" s="22"/>
      <c r="H486" s="22" t="s">
        <v>949</v>
      </c>
      <c r="I486" s="22"/>
      <c r="J486" s="22"/>
      <c r="K486" s="22"/>
      <c r="L486" s="22" t="s">
        <v>950</v>
      </c>
      <c r="M486" s="16">
        <f t="shared" si="41"/>
        <v>32</v>
      </c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22" t="s">
        <v>35</v>
      </c>
      <c r="AE486" s="16"/>
    </row>
    <row r="487" spans="1:31" s="15" customFormat="1" x14ac:dyDescent="0.25">
      <c r="A487" s="15"/>
      <c r="B487" s="16">
        <v>2</v>
      </c>
      <c r="C487" s="15"/>
      <c r="D487" s="17"/>
      <c r="E487" s="17"/>
      <c r="F487" s="17"/>
      <c r="G487" s="22"/>
      <c r="H487" s="22" t="s">
        <v>951</v>
      </c>
      <c r="I487" s="22"/>
      <c r="J487" s="22"/>
      <c r="K487" s="22"/>
      <c r="L487" s="22" t="s">
        <v>952</v>
      </c>
      <c r="M487" s="16">
        <f t="shared" si="41"/>
        <v>30</v>
      </c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22" t="s">
        <v>35</v>
      </c>
      <c r="AE487" s="16"/>
    </row>
    <row r="488" spans="1:31" s="15" customFormat="1" x14ac:dyDescent="0.25">
      <c r="A488" s="15"/>
      <c r="B488" s="16">
        <v>2</v>
      </c>
      <c r="C488" s="15"/>
      <c r="D488" s="17"/>
      <c r="E488" s="17"/>
      <c r="F488" s="17"/>
      <c r="G488" s="22"/>
      <c r="H488" s="22" t="s">
        <v>953</v>
      </c>
      <c r="I488" s="15"/>
      <c r="J488" s="22"/>
      <c r="K488" s="22"/>
      <c r="L488" s="22" t="s">
        <v>954</v>
      </c>
      <c r="M488" s="16">
        <f t="shared" si="41"/>
        <v>36</v>
      </c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37" t="s">
        <v>35</v>
      </c>
      <c r="AE488" s="16"/>
    </row>
    <row r="489" spans="1:31" s="15" customFormat="1" x14ac:dyDescent="0.25">
      <c r="A489" s="15"/>
      <c r="B489" s="16">
        <v>2</v>
      </c>
      <c r="C489" s="15"/>
      <c r="D489" s="17"/>
      <c r="E489" s="17"/>
      <c r="F489" s="17"/>
      <c r="G489" s="37"/>
      <c r="H489" s="37" t="s">
        <v>955</v>
      </c>
      <c r="I489" s="37"/>
      <c r="J489" s="38"/>
      <c r="K489" s="38"/>
      <c r="L489" s="22" t="s">
        <v>956</v>
      </c>
      <c r="M489" s="16">
        <f t="shared" si="41"/>
        <v>26</v>
      </c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22" t="s">
        <v>35</v>
      </c>
      <c r="AE489" s="16"/>
    </row>
    <row r="490" spans="1:31" s="18" customFormat="1" x14ac:dyDescent="0.25">
      <c r="A490" s="18"/>
      <c r="B490" s="19">
        <v>3</v>
      </c>
      <c r="C490" s="18"/>
      <c r="D490" s="20"/>
      <c r="E490" s="20"/>
      <c r="F490" s="20"/>
      <c r="G490" s="39"/>
      <c r="H490" s="39"/>
      <c r="I490" s="39" t="s">
        <v>107</v>
      </c>
      <c r="J490" s="39"/>
      <c r="K490" s="39"/>
      <c r="L490" s="40" t="s">
        <v>957</v>
      </c>
      <c r="M490" s="19">
        <f t="shared" si="41"/>
        <v>33</v>
      </c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41" t="s">
        <v>35</v>
      </c>
      <c r="AE490" s="41"/>
    </row>
    <row r="491" spans="1:31" s="15" customFormat="1" x14ac:dyDescent="0.25">
      <c r="A491" s="15"/>
      <c r="B491" s="16">
        <v>2</v>
      </c>
      <c r="C491" s="15"/>
      <c r="D491" s="17"/>
      <c r="E491" s="17"/>
      <c r="F491" s="17"/>
      <c r="G491" s="37"/>
      <c r="H491" s="37" t="s">
        <v>958</v>
      </c>
      <c r="I491" s="37"/>
      <c r="J491" s="38"/>
      <c r="K491" s="38"/>
      <c r="L491" s="42" t="s">
        <v>959</v>
      </c>
      <c r="M491" s="16">
        <f t="shared" si="41"/>
        <v>27</v>
      </c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22" t="s">
        <v>35</v>
      </c>
      <c r="AE491" s="16"/>
    </row>
    <row r="492" spans="1:31" s="18" customFormat="1" x14ac:dyDescent="0.25">
      <c r="A492" s="18"/>
      <c r="B492" s="19">
        <v>3</v>
      </c>
      <c r="C492" s="18"/>
      <c r="D492" s="20"/>
      <c r="E492" s="20"/>
      <c r="F492" s="20"/>
      <c r="G492" s="39"/>
      <c r="H492" s="39"/>
      <c r="I492" s="39" t="s">
        <v>960</v>
      </c>
      <c r="J492" s="39"/>
      <c r="K492" s="39"/>
      <c r="L492" s="52" t="s">
        <v>961</v>
      </c>
      <c r="M492" s="19">
        <f t="shared" si="41"/>
        <v>38</v>
      </c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41" t="s">
        <v>35</v>
      </c>
      <c r="AE492" s="41"/>
    </row>
    <row r="493" spans="1:31" s="18" customFormat="1" x14ac:dyDescent="0.25">
      <c r="A493" s="18"/>
      <c r="B493" s="19">
        <v>3</v>
      </c>
      <c r="C493" s="18"/>
      <c r="D493" s="20"/>
      <c r="E493" s="20"/>
      <c r="F493" s="20"/>
      <c r="G493" s="39"/>
      <c r="H493" s="39"/>
      <c r="I493" s="39" t="s">
        <v>962</v>
      </c>
      <c r="J493" s="39"/>
      <c r="K493" s="39"/>
      <c r="L493" s="52" t="s">
        <v>963</v>
      </c>
      <c r="M493" s="19">
        <f t="shared" si="41"/>
        <v>39</v>
      </c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41" t="s">
        <v>35</v>
      </c>
      <c r="AE493" s="41"/>
    </row>
    <row r="494" spans="1:31" s="18" customFormat="1" x14ac:dyDescent="0.25">
      <c r="A494" s="18"/>
      <c r="B494" s="19">
        <v>3</v>
      </c>
      <c r="C494" s="18"/>
      <c r="D494" s="20"/>
      <c r="E494" s="20"/>
      <c r="F494" s="20"/>
      <c r="G494" s="39"/>
      <c r="H494" s="39"/>
      <c r="I494" s="39" t="s">
        <v>123</v>
      </c>
      <c r="J494" s="39"/>
      <c r="K494" s="39"/>
      <c r="L494" s="52" t="s">
        <v>964</v>
      </c>
      <c r="M494" s="19">
        <f t="shared" si="41"/>
        <v>37</v>
      </c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41" t="s">
        <v>35</v>
      </c>
      <c r="AE494" s="41"/>
    </row>
    <row r="495" spans="1:31" s="13" customFormat="1" x14ac:dyDescent="0.25">
      <c r="A495" s="13"/>
      <c r="B495" s="14">
        <v>1</v>
      </c>
      <c r="C495" s="13">
        <v>5001</v>
      </c>
      <c r="D495" s="14" t="s">
        <v>31</v>
      </c>
      <c r="E495" s="14" t="s">
        <v>32</v>
      </c>
      <c r="F495" s="14" t="s">
        <v>34</v>
      </c>
      <c r="G495" s="35" t="s">
        <v>965</v>
      </c>
      <c r="H495" s="35"/>
      <c r="I495" s="35"/>
      <c r="J495" s="13" t="str">
        <f>(C495)&amp;"-"&amp;(D495)&amp;"-"&amp;(E495)&amp;"-"&amp;(F495)&amp;"-"&amp;(G495)</f>
        <v>5001-PM03-BR-BR1-35-24P518</v>
      </c>
      <c r="K495" s="14">
        <f>LEN(J495)</f>
        <v>26</v>
      </c>
      <c r="L495" s="35" t="s">
        <v>966</v>
      </c>
      <c r="M495" s="14">
        <f t="shared" si="41"/>
        <v>26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35" t="s">
        <v>35</v>
      </c>
      <c r="AE495" s="14"/>
    </row>
    <row r="496" spans="1:31" s="15" customFormat="1" x14ac:dyDescent="0.25">
      <c r="A496" s="15"/>
      <c r="B496" s="16">
        <v>2</v>
      </c>
      <c r="C496" s="15"/>
      <c r="D496" s="17"/>
      <c r="E496" s="17"/>
      <c r="F496" s="17"/>
      <c r="G496" s="42"/>
      <c r="H496" s="42" t="s">
        <v>965</v>
      </c>
      <c r="I496" s="42"/>
      <c r="J496" s="42"/>
      <c r="K496" s="42"/>
      <c r="L496" s="42" t="s">
        <v>967</v>
      </c>
      <c r="M496" s="16">
        <f t="shared" si="41"/>
        <v>18</v>
      </c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22" t="s">
        <v>35</v>
      </c>
      <c r="AE496" s="37"/>
    </row>
    <row r="497" spans="1:31" s="15" customFormat="1" x14ac:dyDescent="0.25">
      <c r="A497" s="15"/>
      <c r="B497" s="16">
        <v>2</v>
      </c>
      <c r="C497" s="15"/>
      <c r="D497" s="17"/>
      <c r="E497" s="17"/>
      <c r="F497" s="17"/>
      <c r="G497" s="42"/>
      <c r="H497" s="42" t="s">
        <v>968</v>
      </c>
      <c r="I497" s="42"/>
      <c r="J497" s="42"/>
      <c r="K497" s="42"/>
      <c r="L497" s="42" t="s">
        <v>969</v>
      </c>
      <c r="M497" s="16">
        <f t="shared" si="41"/>
        <v>32</v>
      </c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37" t="s">
        <v>35</v>
      </c>
      <c r="AE497" s="37"/>
    </row>
    <row r="498" spans="1:31" s="15" customFormat="1" x14ac:dyDescent="0.25">
      <c r="A498" s="15"/>
      <c r="B498" s="16">
        <v>2</v>
      </c>
      <c r="C498" s="15"/>
      <c r="D498" s="17"/>
      <c r="E498" s="17"/>
      <c r="F498" s="17"/>
      <c r="G498" s="37"/>
      <c r="H498" s="37" t="s">
        <v>156</v>
      </c>
      <c r="I498" s="37"/>
      <c r="J498" s="38"/>
      <c r="K498" s="38"/>
      <c r="L498" s="42" t="s">
        <v>970</v>
      </c>
      <c r="M498" s="16">
        <f t="shared" si="41"/>
        <v>26</v>
      </c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22" t="s">
        <v>35</v>
      </c>
      <c r="AE498" s="16"/>
    </row>
    <row r="499" spans="1:31" s="18" customFormat="1" x14ac:dyDescent="0.25">
      <c r="A499" s="18"/>
      <c r="B499" s="19">
        <v>3</v>
      </c>
      <c r="C499" s="18"/>
      <c r="D499" s="20"/>
      <c r="E499" s="20"/>
      <c r="F499" s="20"/>
      <c r="G499" s="39"/>
      <c r="H499" s="39"/>
      <c r="I499" s="39" t="s">
        <v>971</v>
      </c>
      <c r="J499" s="39"/>
      <c r="K499" s="39"/>
      <c r="L499" s="52" t="s">
        <v>972</v>
      </c>
      <c r="M499" s="19">
        <f t="shared" si="41"/>
        <v>38</v>
      </c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41" t="s">
        <v>735</v>
      </c>
      <c r="AE499" s="41"/>
    </row>
    <row r="500" spans="1:31" s="18" customFormat="1" x14ac:dyDescent="0.25">
      <c r="A500" s="18"/>
      <c r="B500" s="19">
        <v>3</v>
      </c>
      <c r="C500" s="18"/>
      <c r="D500" s="20"/>
      <c r="E500" s="20"/>
      <c r="F500" s="20"/>
      <c r="G500" s="40"/>
      <c r="H500" s="40"/>
      <c r="I500" s="40" t="s">
        <v>973</v>
      </c>
      <c r="J500" s="40"/>
      <c r="K500" s="40"/>
      <c r="L500" s="40" t="s">
        <v>974</v>
      </c>
      <c r="M500" s="19">
        <f t="shared" si="41"/>
        <v>30</v>
      </c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41" t="s">
        <v>735</v>
      </c>
      <c r="AE500" s="41"/>
    </row>
    <row r="501" spans="2:31" s="18" customFormat="1" x14ac:dyDescent="0.25">
      <c r="B501" s="19">
        <v>3</v>
      </c>
      <c r="D501" s="20"/>
      <c r="E501" s="20"/>
      <c r="F501" s="20"/>
      <c r="G501" s="39"/>
      <c r="H501" s="39"/>
      <c r="I501" s="39" t="s">
        <v>975</v>
      </c>
      <c r="J501" s="39"/>
      <c r="K501" s="39"/>
      <c r="L501" s="52" t="s">
        <v>976</v>
      </c>
      <c r="M501" s="19">
        <f t="shared" si="41"/>
        <v>33</v>
      </c>
      <c r="AD501" s="41" t="s">
        <v>735</v>
      </c>
      <c r="AE501" s="41"/>
    </row>
    <row r="502" spans="2:31" s="18" customFormat="1" x14ac:dyDescent="0.25">
      <c r="B502" s="19">
        <v>3</v>
      </c>
      <c r="D502" s="20"/>
      <c r="E502" s="20"/>
      <c r="F502" s="20"/>
      <c r="G502" s="39"/>
      <c r="H502" s="39"/>
      <c r="I502" s="39" t="s">
        <v>85</v>
      </c>
      <c r="J502" s="39"/>
      <c r="K502" s="39"/>
      <c r="L502" s="52" t="s">
        <v>977</v>
      </c>
      <c r="M502" s="19">
        <f t="shared" si="41"/>
        <v>38</v>
      </c>
      <c r="AD502" s="41" t="s">
        <v>735</v>
      </c>
      <c r="AE502" s="41"/>
    </row>
    <row r="503" spans="2:31" s="15" customFormat="1" x14ac:dyDescent="0.25">
      <c r="B503" s="16">
        <v>2</v>
      </c>
      <c r="D503" s="17"/>
      <c r="E503" s="17"/>
      <c r="F503" s="17"/>
      <c r="G503" s="37"/>
      <c r="H503" s="37" t="s">
        <v>978</v>
      </c>
      <c r="I503" s="37"/>
      <c r="J503" s="38"/>
      <c r="K503" s="38"/>
      <c r="L503" s="22" t="s">
        <v>979</v>
      </c>
      <c r="M503" s="16">
        <f t="shared" si="41"/>
        <v>31</v>
      </c>
      <c r="AD503" s="22" t="s">
        <v>35</v>
      </c>
      <c r="AE503" s="16"/>
    </row>
    <row r="504" spans="2:31" s="13" customFormat="1" x14ac:dyDescent="0.25">
      <c r="B504" s="14">
        <v>1</v>
      </c>
      <c r="C504" s="13">
        <v>5001</v>
      </c>
      <c r="D504" s="14" t="s">
        <v>31</v>
      </c>
      <c r="E504" s="14" t="s">
        <v>32</v>
      </c>
      <c r="F504" s="14" t="s">
        <v>34</v>
      </c>
      <c r="G504" s="35" t="s">
        <v>980</v>
      </c>
      <c r="H504" s="35"/>
      <c r="I504" s="35"/>
      <c r="J504" s="13" t="str">
        <f>(C504)&amp;"-"&amp;(D504)&amp;"-"&amp;(E504)&amp;"-"&amp;(F504)&amp;"-"&amp;(G504)</f>
        <v>5001-PM03-BR-BR1-35-24T607</v>
      </c>
      <c r="K504" s="14">
        <f>LEN(J504)</f>
        <v>26</v>
      </c>
      <c r="L504" s="35" t="s">
        <v>981</v>
      </c>
      <c r="M504" s="14">
        <f t="shared" si="41"/>
        <v>26</v>
      </c>
      <c r="AD504" s="36" t="s">
        <v>35</v>
      </c>
      <c r="AE504" s="14"/>
    </row>
    <row r="505" spans="2:31" s="15" customFormat="1" x14ac:dyDescent="0.25">
      <c r="B505" s="16">
        <v>2</v>
      </c>
      <c r="D505" s="17"/>
      <c r="E505" s="17"/>
      <c r="F505" s="17"/>
      <c r="G505" s="22"/>
      <c r="H505" s="22" t="s">
        <v>982</v>
      </c>
      <c r="I505" s="22"/>
      <c r="J505" s="22"/>
      <c r="K505" s="22"/>
      <c r="L505" s="22" t="s">
        <v>983</v>
      </c>
      <c r="M505" s="16">
        <f t="shared" si="41"/>
        <v>30</v>
      </c>
      <c r="AD505" s="37" t="s">
        <v>35</v>
      </c>
      <c r="AE505" s="16"/>
    </row>
    <row r="506" spans="2:31" s="15" customFormat="1" x14ac:dyDescent="0.25">
      <c r="B506" s="16">
        <v>2</v>
      </c>
      <c r="D506" s="17"/>
      <c r="E506" s="17"/>
      <c r="F506" s="17"/>
      <c r="G506" s="22"/>
      <c r="H506" s="22" t="s">
        <v>984</v>
      </c>
      <c r="I506" s="22"/>
      <c r="J506" s="22"/>
      <c r="K506" s="22"/>
      <c r="L506" s="22" t="s">
        <v>985</v>
      </c>
      <c r="M506" s="16">
        <f t="shared" si="41"/>
        <v>30</v>
      </c>
      <c r="AD506" s="37" t="s">
        <v>35</v>
      </c>
      <c r="AE506" s="16"/>
    </row>
    <row r="507" spans="2:31" s="15" customFormat="1" x14ac:dyDescent="0.25">
      <c r="B507" s="16">
        <v>2</v>
      </c>
      <c r="D507" s="17"/>
      <c r="E507" s="17"/>
      <c r="F507" s="17"/>
      <c r="G507" s="22"/>
      <c r="H507" s="22" t="s">
        <v>986</v>
      </c>
      <c r="J507" s="22"/>
      <c r="K507" s="22"/>
      <c r="L507" s="22" t="s">
        <v>987</v>
      </c>
      <c r="M507" s="16">
        <f t="shared" si="41"/>
        <v>36</v>
      </c>
      <c r="AD507" s="37" t="s">
        <v>35</v>
      </c>
      <c r="AE507" s="16"/>
    </row>
    <row r="508" spans="2:31" s="15" customFormat="1" x14ac:dyDescent="0.25">
      <c r="B508" s="16">
        <v>2</v>
      </c>
      <c r="D508" s="17"/>
      <c r="E508" s="17"/>
      <c r="F508" s="17"/>
      <c r="G508" s="37"/>
      <c r="H508" s="37" t="s">
        <v>988</v>
      </c>
      <c r="I508" s="37"/>
      <c r="J508" s="38"/>
      <c r="K508" s="38"/>
      <c r="L508" s="42" t="s">
        <v>989</v>
      </c>
      <c r="M508" s="16">
        <f t="shared" si="41"/>
        <v>27</v>
      </c>
      <c r="AD508" s="37" t="s">
        <v>35</v>
      </c>
      <c r="AE508" s="16"/>
    </row>
    <row r="509" spans="2:31" s="18" customFormat="1" x14ac:dyDescent="0.25">
      <c r="B509" s="19">
        <v>3</v>
      </c>
      <c r="D509" s="20"/>
      <c r="E509" s="20"/>
      <c r="F509" s="20"/>
      <c r="G509" s="39"/>
      <c r="H509" s="39"/>
      <c r="I509" s="39" t="s">
        <v>990</v>
      </c>
      <c r="J509" s="39"/>
      <c r="K509" s="39"/>
      <c r="L509" s="52" t="s">
        <v>991</v>
      </c>
      <c r="M509" s="19">
        <f t="shared" ref="M509:M572" si="42">LEN(L509)</f>
        <v>34</v>
      </c>
      <c r="AD509" s="41" t="s">
        <v>35</v>
      </c>
      <c r="AE509" s="41"/>
    </row>
    <row r="510" spans="2:31" s="13" customFormat="1" x14ac:dyDescent="0.25">
      <c r="B510" s="14">
        <v>1</v>
      </c>
      <c r="C510" s="13">
        <v>5001</v>
      </c>
      <c r="D510" s="14" t="s">
        <v>31</v>
      </c>
      <c r="E510" s="14" t="s">
        <v>32</v>
      </c>
      <c r="F510" s="14" t="s">
        <v>34</v>
      </c>
      <c r="G510" s="35" t="s">
        <v>992</v>
      </c>
      <c r="H510" s="35"/>
      <c r="I510" s="35"/>
      <c r="J510" s="13" t="str">
        <f>(C510)&amp;"-"&amp;(D510)&amp;"-"&amp;(E510)&amp;"-"&amp;(F510)&amp;"-"&amp;(G510)</f>
        <v>5001-PM03-BR-BR1-35-24P517</v>
      </c>
      <c r="K510" s="14">
        <f>LEN(J510)</f>
        <v>26</v>
      </c>
      <c r="L510" s="35" t="s">
        <v>993</v>
      </c>
      <c r="M510" s="14">
        <f t="shared" si="42"/>
        <v>30</v>
      </c>
      <c r="AD510" s="36" t="s">
        <v>35</v>
      </c>
      <c r="AE510" s="14"/>
    </row>
    <row r="511" spans="2:31" s="15" customFormat="1" x14ac:dyDescent="0.25">
      <c r="B511" s="16">
        <v>2</v>
      </c>
      <c r="D511" s="17"/>
      <c r="E511" s="17"/>
      <c r="F511" s="17"/>
      <c r="G511" s="42"/>
      <c r="H511" s="42" t="s">
        <v>992</v>
      </c>
      <c r="I511" s="42"/>
      <c r="J511" s="42"/>
      <c r="K511" s="42"/>
      <c r="L511" s="42" t="s">
        <v>994</v>
      </c>
      <c r="M511" s="16">
        <f t="shared" si="42"/>
        <v>18</v>
      </c>
      <c r="AD511" s="37" t="s">
        <v>35</v>
      </c>
      <c r="AE511" s="16"/>
    </row>
    <row r="512" spans="2:31" s="15" customFormat="1" x14ac:dyDescent="0.25">
      <c r="B512" s="16">
        <v>2</v>
      </c>
      <c r="D512" s="17"/>
      <c r="E512" s="17"/>
      <c r="F512" s="17"/>
      <c r="G512" s="42"/>
      <c r="H512" s="42" t="s">
        <v>995</v>
      </c>
      <c r="J512" s="42"/>
      <c r="K512" s="42"/>
      <c r="L512" s="42" t="s">
        <v>996</v>
      </c>
      <c r="M512" s="16">
        <f t="shared" si="42"/>
        <v>36</v>
      </c>
      <c r="AD512" s="37" t="s">
        <v>35</v>
      </c>
      <c r="AE512" s="16"/>
    </row>
    <row r="513" spans="2:31" s="15" customFormat="1" x14ac:dyDescent="0.25">
      <c r="B513" s="16">
        <v>2</v>
      </c>
      <c r="D513" s="17"/>
      <c r="E513" s="17"/>
      <c r="F513" s="17"/>
      <c r="G513" s="37"/>
      <c r="H513" s="37" t="s">
        <v>127</v>
      </c>
      <c r="I513" s="37"/>
      <c r="J513" s="38"/>
      <c r="K513" s="38"/>
      <c r="L513" s="42" t="s">
        <v>997</v>
      </c>
      <c r="M513" s="16">
        <f t="shared" si="42"/>
        <v>26</v>
      </c>
      <c r="AD513" s="37" t="s">
        <v>998</v>
      </c>
      <c r="AE513" s="16"/>
    </row>
    <row r="514" spans="2:31" s="18" customFormat="1" x14ac:dyDescent="0.25">
      <c r="B514" s="19">
        <v>3</v>
      </c>
      <c r="D514" s="20"/>
      <c r="E514" s="20"/>
      <c r="F514" s="20"/>
      <c r="G514" s="39"/>
      <c r="H514" s="39"/>
      <c r="I514" s="39" t="s">
        <v>136</v>
      </c>
      <c r="J514" s="39"/>
      <c r="K514" s="39"/>
      <c r="L514" s="52" t="s">
        <v>999</v>
      </c>
      <c r="M514" s="19">
        <f t="shared" si="42"/>
        <v>39</v>
      </c>
      <c r="AD514" s="41" t="s">
        <v>998</v>
      </c>
      <c r="AE514" s="41"/>
    </row>
    <row r="515" spans="2:31" s="18" customFormat="1" x14ac:dyDescent="0.25">
      <c r="B515" s="19">
        <v>3</v>
      </c>
      <c r="D515" s="20"/>
      <c r="E515" s="20"/>
      <c r="F515" s="20"/>
      <c r="G515" s="39"/>
      <c r="H515" s="39"/>
      <c r="I515" s="39" t="s">
        <v>1000</v>
      </c>
      <c r="J515" s="39"/>
      <c r="K515" s="39"/>
      <c r="L515" s="52" t="s">
        <v>1001</v>
      </c>
      <c r="M515" s="19">
        <f t="shared" si="42"/>
        <v>33</v>
      </c>
      <c r="AD515" s="41" t="s">
        <v>998</v>
      </c>
      <c r="AE515" s="41"/>
    </row>
    <row r="516" spans="2:31" s="18" customFormat="1" x14ac:dyDescent="0.25">
      <c r="B516" s="19">
        <v>3</v>
      </c>
      <c r="D516" s="20"/>
      <c r="E516" s="20"/>
      <c r="F516" s="20"/>
      <c r="G516" s="39"/>
      <c r="H516" s="39"/>
      <c r="I516" s="39" t="s">
        <v>1002</v>
      </c>
      <c r="J516" s="39"/>
      <c r="K516" s="39"/>
      <c r="L516" s="52" t="s">
        <v>1003</v>
      </c>
      <c r="M516" s="19">
        <f t="shared" si="42"/>
        <v>39</v>
      </c>
      <c r="AD516" s="41" t="s">
        <v>998</v>
      </c>
      <c r="AE516" s="41"/>
    </row>
    <row r="517" spans="2:31" s="15" customFormat="1" x14ac:dyDescent="0.25">
      <c r="B517" s="16">
        <v>2</v>
      </c>
      <c r="D517" s="17"/>
      <c r="E517" s="17"/>
      <c r="F517" s="17"/>
      <c r="G517" s="37"/>
      <c r="H517" s="37" t="s">
        <v>1004</v>
      </c>
      <c r="I517" s="37"/>
      <c r="J517" s="38"/>
      <c r="K517" s="38"/>
      <c r="L517" s="22" t="s">
        <v>1005</v>
      </c>
      <c r="M517" s="16">
        <f t="shared" si="42"/>
        <v>26</v>
      </c>
      <c r="AD517" s="37" t="s">
        <v>35</v>
      </c>
      <c r="AE517" s="16"/>
    </row>
    <row r="518" spans="2:31" s="18" customFormat="1" x14ac:dyDescent="0.25">
      <c r="B518" s="19">
        <v>3</v>
      </c>
      <c r="D518" s="20"/>
      <c r="E518" s="20"/>
      <c r="F518" s="20"/>
      <c r="G518" s="39"/>
      <c r="H518" s="39"/>
      <c r="I518" s="39" t="s">
        <v>1006</v>
      </c>
      <c r="J518" s="39"/>
      <c r="K518" s="39"/>
      <c r="L518" s="40" t="s">
        <v>1007</v>
      </c>
      <c r="M518" s="19">
        <f t="shared" si="42"/>
        <v>33</v>
      </c>
      <c r="AD518" s="41" t="s">
        <v>35</v>
      </c>
      <c r="AE518" s="41"/>
    </row>
    <row r="519" spans="2:31" s="15" customFormat="1" x14ac:dyDescent="0.25">
      <c r="B519" s="16">
        <v>2</v>
      </c>
      <c r="D519" s="17"/>
      <c r="E519" s="17"/>
      <c r="F519" s="17"/>
      <c r="G519" s="37"/>
      <c r="H519" s="37" t="s">
        <v>978</v>
      </c>
      <c r="I519" s="37"/>
      <c r="J519" s="38"/>
      <c r="K519" s="38"/>
      <c r="L519" s="22" t="s">
        <v>1008</v>
      </c>
      <c r="M519" s="16">
        <f t="shared" si="42"/>
        <v>35</v>
      </c>
      <c r="AD519" s="37" t="s">
        <v>35</v>
      </c>
      <c r="AE519" s="16"/>
    </row>
    <row r="520" spans="2:31" s="13" customFormat="1" x14ac:dyDescent="0.25">
      <c r="B520" s="14">
        <v>1</v>
      </c>
      <c r="C520" s="13">
        <v>5001</v>
      </c>
      <c r="D520" s="14" t="s">
        <v>31</v>
      </c>
      <c r="E520" s="14" t="s">
        <v>32</v>
      </c>
      <c r="F520" s="14" t="s">
        <v>34</v>
      </c>
      <c r="G520" s="35" t="s">
        <v>45</v>
      </c>
      <c r="H520" s="35"/>
      <c r="I520" s="35"/>
      <c r="J520" s="13" t="str">
        <f>(C520)&amp;"-"&amp;(D520)&amp;"-"&amp;(E520)&amp;"-"&amp;(F520)&amp;"-"&amp;(G520)</f>
        <v>5001-PM03-BR-BR1-35-24-194</v>
      </c>
      <c r="K520" s="14">
        <f>LEN(J520)</f>
        <v>26</v>
      </c>
      <c r="L520" s="35" t="s">
        <v>1009</v>
      </c>
      <c r="M520" s="14">
        <f t="shared" si="42"/>
        <v>34</v>
      </c>
      <c r="AD520" s="36" t="s">
        <v>35</v>
      </c>
      <c r="AE520" s="14"/>
    </row>
    <row r="521" spans="2:30" s="15" customFormat="1" x14ac:dyDescent="0.25">
      <c r="B521" s="16">
        <v>2</v>
      </c>
      <c r="H521" s="15" t="s">
        <v>1010</v>
      </c>
      <c r="L521" s="15" t="s">
        <v>1011</v>
      </c>
      <c r="M521" s="16">
        <f t="shared" si="42"/>
        <v>38</v>
      </c>
      <c r="AD521" s="37" t="s">
        <v>35</v>
      </c>
    </row>
    <row r="522" spans="2:30" s="18" customFormat="1" x14ac:dyDescent="0.25">
      <c r="B522" s="19">
        <v>3</v>
      </c>
      <c r="I522" s="18" t="s">
        <v>1012</v>
      </c>
      <c r="L522" s="18" t="s">
        <v>1013</v>
      </c>
      <c r="M522" s="19">
        <f t="shared" si="42"/>
        <v>44</v>
      </c>
      <c r="AD522" s="18" t="s">
        <v>35</v>
      </c>
    </row>
    <row r="523" spans="2:30" s="18" customFormat="1" x14ac:dyDescent="0.25">
      <c r="B523" s="19">
        <v>3</v>
      </c>
      <c r="I523" s="18" t="s">
        <v>1014</v>
      </c>
      <c r="L523" s="18" t="s">
        <v>1015</v>
      </c>
      <c r="M523" s="19">
        <f t="shared" si="42"/>
        <v>40</v>
      </c>
      <c r="AD523" s="18" t="s">
        <v>35</v>
      </c>
    </row>
    <row r="524" spans="2:30" s="18" customFormat="1" x14ac:dyDescent="0.25">
      <c r="B524" s="19">
        <v>3</v>
      </c>
      <c r="I524" s="18" t="s">
        <v>1016</v>
      </c>
      <c r="L524" s="18" t="s">
        <v>1017</v>
      </c>
      <c r="M524" s="19">
        <f t="shared" si="42"/>
        <v>38</v>
      </c>
      <c r="AD524" s="18" t="s">
        <v>35</v>
      </c>
    </row>
    <row r="525" spans="2:31" s="13" customFormat="1" x14ac:dyDescent="0.25">
      <c r="B525" s="14">
        <v>1</v>
      </c>
      <c r="C525" s="13">
        <v>5001</v>
      </c>
      <c r="D525" s="14" t="s">
        <v>31</v>
      </c>
      <c r="E525" s="14" t="s">
        <v>32</v>
      </c>
      <c r="F525" s="14" t="s">
        <v>34</v>
      </c>
      <c r="G525" s="35" t="s">
        <v>1010</v>
      </c>
      <c r="H525" s="35"/>
      <c r="I525" s="35"/>
      <c r="J525" s="13" t="str">
        <f>(C525)&amp;"-"&amp;(D525)&amp;"-"&amp;(E525)&amp;"-"&amp;(F525)&amp;"-"&amp;(G525)</f>
        <v>5001-PM03-BR-BR1-35-24-195</v>
      </c>
      <c r="K525" s="14">
        <f>LEN(J525)</f>
        <v>26</v>
      </c>
      <c r="L525" s="35" t="s">
        <v>1018</v>
      </c>
      <c r="M525" s="14">
        <f t="shared" si="42"/>
        <v>34</v>
      </c>
      <c r="AD525" s="36" t="s">
        <v>35</v>
      </c>
      <c r="AE525" s="14"/>
    </row>
    <row r="526" spans="2:30" s="15" customFormat="1" x14ac:dyDescent="0.25">
      <c r="B526" s="16">
        <v>2</v>
      </c>
      <c r="H526" s="15" t="s">
        <v>1019</v>
      </c>
      <c r="L526" s="15" t="s">
        <v>1020</v>
      </c>
      <c r="M526" s="16">
        <f t="shared" si="42"/>
        <v>38</v>
      </c>
      <c r="AD526" s="37" t="s">
        <v>35</v>
      </c>
    </row>
    <row r="527" spans="2:30" s="18" customFormat="1" x14ac:dyDescent="0.25">
      <c r="B527" s="19">
        <v>3</v>
      </c>
      <c r="I527" s="18" t="s">
        <v>1021</v>
      </c>
      <c r="L527" s="18" t="s">
        <v>1022</v>
      </c>
      <c r="M527" s="19">
        <f t="shared" si="42"/>
        <v>44</v>
      </c>
      <c r="AD527" s="18" t="s">
        <v>35</v>
      </c>
    </row>
    <row r="528" spans="2:30" s="18" customFormat="1" x14ac:dyDescent="0.25">
      <c r="B528" s="19">
        <v>3</v>
      </c>
      <c r="I528" s="18" t="s">
        <v>1023</v>
      </c>
      <c r="L528" s="18" t="s">
        <v>1024</v>
      </c>
      <c r="M528" s="19">
        <f t="shared" si="42"/>
        <v>40</v>
      </c>
      <c r="AD528" s="18" t="s">
        <v>35</v>
      </c>
    </row>
    <row r="529" spans="2:30" s="18" customFormat="1" x14ac:dyDescent="0.25">
      <c r="B529" s="19">
        <v>3</v>
      </c>
      <c r="I529" s="18" t="s">
        <v>1025</v>
      </c>
      <c r="L529" s="18" t="s">
        <v>1026</v>
      </c>
      <c r="M529" s="19">
        <f t="shared" si="42"/>
        <v>38</v>
      </c>
      <c r="AD529" s="18" t="s">
        <v>35</v>
      </c>
    </row>
    <row r="530" spans="2:31" s="13" customFormat="1" x14ac:dyDescent="0.25">
      <c r="B530" s="14">
        <v>1</v>
      </c>
      <c r="C530" s="13">
        <v>5001</v>
      </c>
      <c r="D530" s="14" t="s">
        <v>31</v>
      </c>
      <c r="E530" s="14" t="s">
        <v>32</v>
      </c>
      <c r="F530" s="14" t="s">
        <v>34</v>
      </c>
      <c r="G530" s="35" t="s">
        <v>962</v>
      </c>
      <c r="H530" s="35"/>
      <c r="I530" s="35"/>
      <c r="J530" s="13" t="str">
        <f>(C530)&amp;"-"&amp;(D530)&amp;"-"&amp;(E530)&amp;"-"&amp;(F530)&amp;"-"&amp;(G530)</f>
        <v>5001-PM03-BR-BR1-35-24-008</v>
      </c>
      <c r="K530" s="14">
        <f>LEN(J530)</f>
        <v>26</v>
      </c>
      <c r="L530" s="35" t="s">
        <v>1027</v>
      </c>
      <c r="M530" s="14">
        <f t="shared" si="42"/>
        <v>34</v>
      </c>
      <c r="AD530" s="36" t="s">
        <v>35</v>
      </c>
      <c r="AE530" s="14"/>
    </row>
    <row r="531" spans="2:30" s="15" customFormat="1" x14ac:dyDescent="0.25">
      <c r="B531" s="16">
        <v>2</v>
      </c>
      <c r="H531" s="15" t="s">
        <v>1028</v>
      </c>
      <c r="L531" s="15" t="s">
        <v>1029</v>
      </c>
      <c r="M531" s="16">
        <f t="shared" si="42"/>
        <v>39</v>
      </c>
      <c r="AD531" s="37" t="s">
        <v>35</v>
      </c>
    </row>
    <row r="532" spans="2:30" s="18" customFormat="1" x14ac:dyDescent="0.25">
      <c r="B532" s="19">
        <v>3</v>
      </c>
      <c r="I532" s="18" t="s">
        <v>1030</v>
      </c>
      <c r="L532" s="18" t="s">
        <v>1031</v>
      </c>
      <c r="M532" s="19">
        <f t="shared" si="42"/>
        <v>44</v>
      </c>
      <c r="AD532" s="18" t="s">
        <v>35</v>
      </c>
    </row>
    <row r="533" spans="2:30" s="18" customFormat="1" x14ac:dyDescent="0.25">
      <c r="B533" s="19">
        <v>3</v>
      </c>
      <c r="I533" s="18" t="s">
        <v>1032</v>
      </c>
      <c r="L533" s="18" t="s">
        <v>1033</v>
      </c>
      <c r="M533" s="19">
        <f t="shared" si="42"/>
        <v>40</v>
      </c>
      <c r="AD533" s="18" t="s">
        <v>35</v>
      </c>
    </row>
    <row r="534" spans="2:30" s="18" customFormat="1" x14ac:dyDescent="0.25">
      <c r="B534" s="19">
        <v>3</v>
      </c>
      <c r="I534" s="18" t="s">
        <v>1034</v>
      </c>
      <c r="L534" s="18" t="s">
        <v>1035</v>
      </c>
      <c r="M534" s="19">
        <f t="shared" si="42"/>
        <v>38</v>
      </c>
      <c r="AD534" s="18" t="s">
        <v>35</v>
      </c>
    </row>
    <row r="535" spans="2:31" s="13" customFormat="1" x14ac:dyDescent="0.25">
      <c r="B535" s="14">
        <v>1</v>
      </c>
      <c r="C535" s="13">
        <v>5001</v>
      </c>
      <c r="D535" s="14" t="s">
        <v>31</v>
      </c>
      <c r="E535" s="14" t="s">
        <v>32</v>
      </c>
      <c r="F535" s="14" t="s">
        <v>34</v>
      </c>
      <c r="G535" s="35" t="s">
        <v>1036</v>
      </c>
      <c r="H535" s="35"/>
      <c r="I535" s="35"/>
      <c r="J535" s="13" t="str">
        <f>(C535)&amp;"-"&amp;(D535)&amp;"-"&amp;(E535)&amp;"-"&amp;(F535)&amp;"-"&amp;(G535)</f>
        <v>5001-PM03-BR-BR1-35-24-010</v>
      </c>
      <c r="K535" s="14">
        <f>LEN(J535)</f>
        <v>26</v>
      </c>
      <c r="L535" s="35" t="s">
        <v>1027</v>
      </c>
      <c r="M535" s="14">
        <f t="shared" si="42"/>
        <v>34</v>
      </c>
      <c r="AD535" s="36" t="s">
        <v>35</v>
      </c>
      <c r="AE535" s="14"/>
    </row>
    <row r="536" spans="2:30" s="15" customFormat="1" x14ac:dyDescent="0.25">
      <c r="B536" s="16">
        <v>2</v>
      </c>
      <c r="H536" s="15" t="s">
        <v>1037</v>
      </c>
      <c r="L536" s="15" t="s">
        <v>1038</v>
      </c>
      <c r="M536" s="16">
        <f t="shared" si="42"/>
        <v>39</v>
      </c>
      <c r="AD536" s="37" t="s">
        <v>35</v>
      </c>
    </row>
    <row r="537" spans="2:30" s="18" customFormat="1" x14ac:dyDescent="0.25">
      <c r="B537" s="19">
        <v>3</v>
      </c>
      <c r="I537" s="18" t="s">
        <v>1039</v>
      </c>
      <c r="L537" s="18" t="s">
        <v>1040</v>
      </c>
      <c r="M537" s="19">
        <f t="shared" si="42"/>
        <v>44</v>
      </c>
      <c r="AD537" s="18" t="s">
        <v>35</v>
      </c>
    </row>
    <row r="538" spans="2:30" s="18" customFormat="1" x14ac:dyDescent="0.25">
      <c r="B538" s="19">
        <v>3</v>
      </c>
      <c r="I538" s="18" t="s">
        <v>1041</v>
      </c>
      <c r="L538" s="18" t="s">
        <v>1042</v>
      </c>
      <c r="M538" s="19">
        <f t="shared" si="42"/>
        <v>40</v>
      </c>
      <c r="AD538" s="18" t="s">
        <v>35</v>
      </c>
    </row>
    <row r="539" spans="2:30" s="18" customFormat="1" x14ac:dyDescent="0.25">
      <c r="B539" s="19">
        <v>3</v>
      </c>
      <c r="I539" s="18" t="s">
        <v>1043</v>
      </c>
      <c r="L539" s="18" t="s">
        <v>1044</v>
      </c>
      <c r="M539" s="19">
        <f t="shared" si="42"/>
        <v>38</v>
      </c>
      <c r="AD539" s="18" t="s">
        <v>35</v>
      </c>
    </row>
    <row r="540" spans="2:31" s="13" customFormat="1" x14ac:dyDescent="0.25">
      <c r="B540" s="14">
        <v>1</v>
      </c>
      <c r="C540" s="13">
        <v>5001</v>
      </c>
      <c r="D540" s="14" t="s">
        <v>31</v>
      </c>
      <c r="E540" s="14" t="s">
        <v>32</v>
      </c>
      <c r="F540" s="14" t="s">
        <v>34</v>
      </c>
      <c r="G540" s="35" t="s">
        <v>1045</v>
      </c>
      <c r="H540" s="35"/>
      <c r="I540" s="35"/>
      <c r="J540" s="13" t="str">
        <f>(C540)&amp;"-"&amp;(D540)&amp;"-"&amp;(E540)&amp;"-"&amp;(F540)&amp;"-"&amp;(G540)</f>
        <v>5001-PM03-BR-BR1-35-24-012</v>
      </c>
      <c r="K540" s="14">
        <f>LEN(J540)</f>
        <v>26</v>
      </c>
      <c r="L540" s="35" t="s">
        <v>1046</v>
      </c>
      <c r="M540" s="14">
        <f t="shared" si="42"/>
        <v>34</v>
      </c>
      <c r="AD540" s="36" t="s">
        <v>35</v>
      </c>
      <c r="AE540" s="14"/>
    </row>
    <row r="541" spans="2:30" s="15" customFormat="1" x14ac:dyDescent="0.25">
      <c r="B541" s="16">
        <v>2</v>
      </c>
      <c r="H541" s="15" t="s">
        <v>1047</v>
      </c>
      <c r="L541" s="15" t="s">
        <v>1048</v>
      </c>
      <c r="M541" s="16">
        <f t="shared" si="42"/>
        <v>38</v>
      </c>
      <c r="AD541" s="37" t="s">
        <v>35</v>
      </c>
    </row>
    <row r="542" spans="2:30" s="18" customFormat="1" x14ac:dyDescent="0.25">
      <c r="B542" s="19">
        <v>3</v>
      </c>
      <c r="I542" s="18" t="s">
        <v>1049</v>
      </c>
      <c r="L542" s="18" t="s">
        <v>1050</v>
      </c>
      <c r="M542" s="19">
        <f t="shared" si="42"/>
        <v>44</v>
      </c>
      <c r="AD542" s="18" t="s">
        <v>35</v>
      </c>
    </row>
    <row r="543" spans="2:30" s="18" customFormat="1" x14ac:dyDescent="0.25">
      <c r="B543" s="19">
        <v>3</v>
      </c>
      <c r="I543" s="18" t="s">
        <v>1051</v>
      </c>
      <c r="L543" s="18" t="s">
        <v>1052</v>
      </c>
      <c r="M543" s="19">
        <f t="shared" si="42"/>
        <v>40</v>
      </c>
      <c r="AD543" s="18" t="s">
        <v>35</v>
      </c>
    </row>
    <row r="544" spans="2:30" s="18" customFormat="1" x14ac:dyDescent="0.25">
      <c r="B544" s="19">
        <v>3</v>
      </c>
      <c r="I544" s="18" t="s">
        <v>1053</v>
      </c>
      <c r="L544" s="18" t="s">
        <v>1054</v>
      </c>
      <c r="M544" s="19">
        <f t="shared" si="42"/>
        <v>38</v>
      </c>
      <c r="AD544" s="18" t="s">
        <v>35</v>
      </c>
    </row>
    <row r="545" spans="2:31" s="13" customFormat="1" x14ac:dyDescent="0.25">
      <c r="B545" s="14">
        <v>1</v>
      </c>
      <c r="C545" s="13">
        <v>5001</v>
      </c>
      <c r="D545" s="14" t="s">
        <v>31</v>
      </c>
      <c r="E545" s="14" t="s">
        <v>32</v>
      </c>
      <c r="F545" s="14" t="s">
        <v>34</v>
      </c>
      <c r="G545" s="35" t="s">
        <v>894</v>
      </c>
      <c r="H545" s="35"/>
      <c r="I545" s="35"/>
      <c r="J545" s="13" t="str">
        <f>(C545)&amp;"-"&amp;(D545)&amp;"-"&amp;(E545)&amp;"-"&amp;(F545)&amp;"-"&amp;(G545)</f>
        <v>5001-PM03-BR-BR1-35-24-024</v>
      </c>
      <c r="K545" s="14">
        <f>LEN(J545)</f>
        <v>26</v>
      </c>
      <c r="L545" s="35" t="s">
        <v>1055</v>
      </c>
      <c r="M545" s="14">
        <f t="shared" si="42"/>
        <v>34</v>
      </c>
      <c r="AD545" s="36" t="s">
        <v>35</v>
      </c>
      <c r="AE545" s="14"/>
    </row>
    <row r="546" spans="2:30" s="15" customFormat="1" x14ac:dyDescent="0.25">
      <c r="B546" s="16">
        <v>2</v>
      </c>
      <c r="H546" s="15" t="s">
        <v>1056</v>
      </c>
      <c r="L546" s="15" t="s">
        <v>1057</v>
      </c>
      <c r="M546" s="16">
        <f t="shared" si="42"/>
        <v>38</v>
      </c>
      <c r="AD546" s="37" t="s">
        <v>35</v>
      </c>
    </row>
    <row r="547" spans="2:30" s="18" customFormat="1" x14ac:dyDescent="0.25">
      <c r="B547" s="19">
        <v>3</v>
      </c>
      <c r="I547" s="18" t="s">
        <v>1058</v>
      </c>
      <c r="L547" s="18" t="s">
        <v>1059</v>
      </c>
      <c r="M547" s="19">
        <f t="shared" si="42"/>
        <v>44</v>
      </c>
      <c r="AD547" s="18" t="s">
        <v>35</v>
      </c>
    </row>
    <row r="548" spans="2:30" s="18" customFormat="1" x14ac:dyDescent="0.25">
      <c r="B548" s="19">
        <v>3</v>
      </c>
      <c r="I548" s="18" t="s">
        <v>1060</v>
      </c>
      <c r="L548" s="18" t="s">
        <v>1061</v>
      </c>
      <c r="M548" s="19">
        <f t="shared" si="42"/>
        <v>40</v>
      </c>
      <c r="AD548" s="18" t="s">
        <v>35</v>
      </c>
    </row>
    <row r="549" spans="2:30" s="18" customFormat="1" x14ac:dyDescent="0.25">
      <c r="B549" s="19">
        <v>3</v>
      </c>
      <c r="I549" s="18" t="s">
        <v>1062</v>
      </c>
      <c r="L549" s="18" t="s">
        <v>1063</v>
      </c>
      <c r="M549" s="19">
        <f t="shared" si="42"/>
        <v>38</v>
      </c>
      <c r="AD549" s="18" t="s">
        <v>35</v>
      </c>
    </row>
    <row r="550" spans="2:31" s="13" customFormat="1" x14ac:dyDescent="0.25">
      <c r="B550" s="14">
        <v>1</v>
      </c>
      <c r="C550" s="13">
        <v>5001</v>
      </c>
      <c r="D550" s="14" t="s">
        <v>31</v>
      </c>
      <c r="E550" s="14" t="s">
        <v>32</v>
      </c>
      <c r="F550" s="14" t="s">
        <v>34</v>
      </c>
      <c r="G550" s="35" t="s">
        <v>860</v>
      </c>
      <c r="H550" s="35"/>
      <c r="I550" s="35"/>
      <c r="J550" s="13" t="str">
        <f>(C550)&amp;"-"&amp;(D550)&amp;"-"&amp;(E550)&amp;"-"&amp;(F550)&amp;"-"&amp;(G550)</f>
        <v>5001-PM03-BR-BR1-35-24-026</v>
      </c>
      <c r="K550" s="14">
        <f>LEN(J550)</f>
        <v>26</v>
      </c>
      <c r="L550" s="35" t="s">
        <v>1055</v>
      </c>
      <c r="M550" s="14">
        <f t="shared" si="42"/>
        <v>34</v>
      </c>
      <c r="AD550" s="36" t="s">
        <v>35</v>
      </c>
      <c r="AE550" s="14"/>
    </row>
    <row r="551" spans="2:30" s="15" customFormat="1" x14ac:dyDescent="0.25">
      <c r="B551" s="16">
        <v>2</v>
      </c>
      <c r="H551" s="15" t="s">
        <v>901</v>
      </c>
      <c r="L551" s="15" t="s">
        <v>1064</v>
      </c>
      <c r="M551" s="16">
        <f t="shared" si="42"/>
        <v>38</v>
      </c>
      <c r="AD551" s="37" t="s">
        <v>35</v>
      </c>
    </row>
    <row r="552" spans="2:30" s="18" customFormat="1" x14ac:dyDescent="0.25">
      <c r="B552" s="19">
        <v>3</v>
      </c>
      <c r="I552" s="18" t="s">
        <v>1065</v>
      </c>
      <c r="L552" s="18" t="s">
        <v>1066</v>
      </c>
      <c r="M552" s="19">
        <f t="shared" si="42"/>
        <v>44</v>
      </c>
      <c r="AD552" s="18" t="s">
        <v>35</v>
      </c>
    </row>
    <row r="553" spans="2:30" s="18" customFormat="1" x14ac:dyDescent="0.25">
      <c r="B553" s="19">
        <v>3</v>
      </c>
      <c r="I553" s="18" t="s">
        <v>1067</v>
      </c>
      <c r="L553" s="18" t="s">
        <v>1068</v>
      </c>
      <c r="M553" s="19">
        <f t="shared" si="42"/>
        <v>40</v>
      </c>
      <c r="AD553" s="18" t="s">
        <v>35</v>
      </c>
    </row>
    <row r="554" spans="2:30" s="18" customFormat="1" x14ac:dyDescent="0.25">
      <c r="B554" s="19">
        <v>3</v>
      </c>
      <c r="I554" s="18" t="s">
        <v>1069</v>
      </c>
      <c r="L554" s="18" t="s">
        <v>1070</v>
      </c>
      <c r="M554" s="19">
        <f t="shared" si="42"/>
        <v>38</v>
      </c>
      <c r="AD554" s="18" t="s">
        <v>35</v>
      </c>
    </row>
    <row r="555" spans="2:31" s="13" customFormat="1" x14ac:dyDescent="0.25">
      <c r="B555" s="14">
        <v>1</v>
      </c>
      <c r="C555" s="13">
        <v>5001</v>
      </c>
      <c r="D555" s="14" t="s">
        <v>31</v>
      </c>
      <c r="E555" s="14" t="s">
        <v>32</v>
      </c>
      <c r="F555" s="14" t="s">
        <v>34</v>
      </c>
      <c r="G555" s="35" t="s">
        <v>1071</v>
      </c>
      <c r="H555" s="35"/>
      <c r="I555" s="35"/>
      <c r="J555" s="13" t="str">
        <f>(C555)&amp;"-"&amp;(D555)&amp;"-"&amp;(E555)&amp;"-"&amp;(F555)&amp;"-"&amp;(G555)</f>
        <v>5001-PM03-BR-BR1-35-24-028</v>
      </c>
      <c r="K555" s="14">
        <f>LEN(J555)</f>
        <v>26</v>
      </c>
      <c r="L555" s="35" t="s">
        <v>1072</v>
      </c>
      <c r="M555" s="14">
        <f t="shared" si="42"/>
        <v>34</v>
      </c>
      <c r="AD555" s="36" t="s">
        <v>35</v>
      </c>
      <c r="AE555" s="14"/>
    </row>
    <row r="556" spans="2:30" s="15" customFormat="1" x14ac:dyDescent="0.25">
      <c r="B556" s="16">
        <v>2</v>
      </c>
      <c r="H556" s="15" t="s">
        <v>1073</v>
      </c>
      <c r="L556" s="15" t="s">
        <v>1074</v>
      </c>
      <c r="M556" s="16">
        <f t="shared" si="42"/>
        <v>38</v>
      </c>
      <c r="AD556" s="37" t="s">
        <v>35</v>
      </c>
    </row>
    <row r="557" spans="2:30" s="18" customFormat="1" x14ac:dyDescent="0.25">
      <c r="B557" s="19">
        <v>3</v>
      </c>
      <c r="I557" s="18" t="s">
        <v>1075</v>
      </c>
      <c r="L557" s="18" t="s">
        <v>1076</v>
      </c>
      <c r="M557" s="19">
        <f t="shared" si="42"/>
        <v>44</v>
      </c>
      <c r="AD557" s="18" t="s">
        <v>35</v>
      </c>
    </row>
    <row r="558" spans="2:30" s="18" customFormat="1" x14ac:dyDescent="0.25">
      <c r="B558" s="19">
        <v>3</v>
      </c>
      <c r="I558" s="18" t="s">
        <v>1077</v>
      </c>
      <c r="L558" s="18" t="s">
        <v>1078</v>
      </c>
      <c r="M558" s="19">
        <f t="shared" si="42"/>
        <v>40</v>
      </c>
      <c r="AD558" s="18" t="s">
        <v>35</v>
      </c>
    </row>
    <row r="559" spans="2:30" s="18" customFormat="1" x14ac:dyDescent="0.25">
      <c r="B559" s="19">
        <v>3</v>
      </c>
      <c r="I559" s="18" t="s">
        <v>1079</v>
      </c>
      <c r="L559" s="18" t="s">
        <v>1080</v>
      </c>
      <c r="M559" s="19">
        <f t="shared" si="42"/>
        <v>38</v>
      </c>
      <c r="AD559" s="18" t="s">
        <v>35</v>
      </c>
    </row>
    <row r="560" spans="2:31" s="13" customFormat="1" x14ac:dyDescent="0.25">
      <c r="B560" s="14">
        <v>1</v>
      </c>
      <c r="C560" s="13">
        <v>5001</v>
      </c>
      <c r="D560" s="14" t="s">
        <v>31</v>
      </c>
      <c r="E560" s="14" t="s">
        <v>32</v>
      </c>
      <c r="F560" s="14" t="s">
        <v>34</v>
      </c>
      <c r="G560" s="35" t="s">
        <v>1081</v>
      </c>
      <c r="H560" s="35"/>
      <c r="I560" s="35"/>
      <c r="J560" s="13" t="str">
        <f>(C560)&amp;"-"&amp;(D560)&amp;"-"&amp;(E560)&amp;"-"&amp;(F560)&amp;"-"&amp;(G560)</f>
        <v>5001-PM03-BR-BR1-35-24-042</v>
      </c>
      <c r="K560" s="14">
        <f>LEN(J560)</f>
        <v>26</v>
      </c>
      <c r="L560" s="35" t="s">
        <v>1082</v>
      </c>
      <c r="M560" s="14">
        <f t="shared" si="42"/>
        <v>34</v>
      </c>
      <c r="AD560" s="36" t="s">
        <v>35</v>
      </c>
      <c r="AE560" s="14"/>
    </row>
    <row r="561" spans="2:30" s="15" customFormat="1" x14ac:dyDescent="0.25">
      <c r="B561" s="16">
        <v>2</v>
      </c>
      <c r="H561" s="15" t="s">
        <v>1083</v>
      </c>
      <c r="L561" s="15" t="s">
        <v>1084</v>
      </c>
      <c r="M561" s="16">
        <f t="shared" si="42"/>
        <v>39</v>
      </c>
      <c r="AD561" s="37" t="s">
        <v>35</v>
      </c>
    </row>
    <row r="562" spans="2:30" s="18" customFormat="1" x14ac:dyDescent="0.25">
      <c r="B562" s="19">
        <v>3</v>
      </c>
      <c r="I562" s="18" t="s">
        <v>1085</v>
      </c>
      <c r="L562" s="18" t="s">
        <v>1086</v>
      </c>
      <c r="M562" s="19">
        <f t="shared" si="42"/>
        <v>44</v>
      </c>
      <c r="AD562" s="18" t="s">
        <v>35</v>
      </c>
    </row>
    <row r="563" spans="2:30" s="18" customFormat="1" x14ac:dyDescent="0.25">
      <c r="B563" s="19">
        <v>3</v>
      </c>
      <c r="I563" s="18" t="s">
        <v>1087</v>
      </c>
      <c r="L563" s="18" t="s">
        <v>1088</v>
      </c>
      <c r="M563" s="19">
        <f t="shared" si="42"/>
        <v>40</v>
      </c>
      <c r="AD563" s="18" t="s">
        <v>35</v>
      </c>
    </row>
    <row r="564" spans="2:30" s="18" customFormat="1" x14ac:dyDescent="0.25">
      <c r="B564" s="19">
        <v>3</v>
      </c>
      <c r="I564" s="18" t="s">
        <v>1089</v>
      </c>
      <c r="L564" s="18" t="s">
        <v>1090</v>
      </c>
      <c r="M564" s="19">
        <f t="shared" si="42"/>
        <v>38</v>
      </c>
      <c r="AD564" s="18" t="s">
        <v>35</v>
      </c>
    </row>
    <row r="565" spans="2:31" s="13" customFormat="1" x14ac:dyDescent="0.25">
      <c r="B565" s="14">
        <v>1</v>
      </c>
      <c r="C565" s="13">
        <v>5001</v>
      </c>
      <c r="D565" s="14" t="s">
        <v>31</v>
      </c>
      <c r="E565" s="14" t="s">
        <v>32</v>
      </c>
      <c r="F565" s="14" t="s">
        <v>34</v>
      </c>
      <c r="G565" s="35" t="s">
        <v>759</v>
      </c>
      <c r="H565" s="35"/>
      <c r="I565" s="35"/>
      <c r="J565" s="13" t="str">
        <f>(C565)&amp;"-"&amp;(D565)&amp;"-"&amp;(E565)&amp;"-"&amp;(F565)&amp;"-"&amp;(G565)</f>
        <v>5001-PM03-BR-BR1-35-24-045</v>
      </c>
      <c r="K565" s="14">
        <f>LEN(J565)</f>
        <v>26</v>
      </c>
      <c r="L565" s="35" t="s">
        <v>1091</v>
      </c>
      <c r="M565" s="14">
        <f t="shared" si="42"/>
        <v>34</v>
      </c>
      <c r="AD565" s="36" t="s">
        <v>35</v>
      </c>
      <c r="AE565" s="14"/>
    </row>
    <row r="566" spans="2:30" s="15" customFormat="1" x14ac:dyDescent="0.25">
      <c r="B566" s="16">
        <v>2</v>
      </c>
      <c r="H566" s="15" t="s">
        <v>1092</v>
      </c>
      <c r="L566" s="15" t="s">
        <v>1093</v>
      </c>
      <c r="M566" s="16">
        <f t="shared" si="42"/>
        <v>38</v>
      </c>
      <c r="AD566" s="37" t="s">
        <v>35</v>
      </c>
    </row>
    <row r="567" spans="2:30" s="18" customFormat="1" x14ac:dyDescent="0.25">
      <c r="B567" s="19">
        <v>3</v>
      </c>
      <c r="I567" s="18" t="s">
        <v>1094</v>
      </c>
      <c r="L567" s="18" t="s">
        <v>1095</v>
      </c>
      <c r="M567" s="19">
        <f t="shared" si="42"/>
        <v>44</v>
      </c>
      <c r="AD567" s="18" t="s">
        <v>35</v>
      </c>
    </row>
    <row r="568" spans="2:30" s="18" customFormat="1" x14ac:dyDescent="0.25">
      <c r="B568" s="19">
        <v>3</v>
      </c>
      <c r="I568" s="18" t="s">
        <v>1096</v>
      </c>
      <c r="L568" s="18" t="s">
        <v>1097</v>
      </c>
      <c r="M568" s="19">
        <f t="shared" si="42"/>
        <v>40</v>
      </c>
      <c r="AD568" s="18" t="s">
        <v>35</v>
      </c>
    </row>
    <row r="569" spans="2:30" s="18" customFormat="1" x14ac:dyDescent="0.25">
      <c r="B569" s="19">
        <v>3</v>
      </c>
      <c r="I569" s="18" t="s">
        <v>1098</v>
      </c>
      <c r="L569" s="18" t="s">
        <v>1099</v>
      </c>
      <c r="M569" s="19">
        <f t="shared" si="42"/>
        <v>38</v>
      </c>
      <c r="AD569" s="18" t="s">
        <v>35</v>
      </c>
    </row>
    <row r="570" spans="2:31" s="13" customFormat="1" x14ac:dyDescent="0.25">
      <c r="B570" s="14">
        <v>1</v>
      </c>
      <c r="C570" s="13">
        <v>5001</v>
      </c>
      <c r="D570" s="14" t="s">
        <v>31</v>
      </c>
      <c r="E570" s="14" t="s">
        <v>32</v>
      </c>
      <c r="F570" s="14" t="s">
        <v>34</v>
      </c>
      <c r="G570" s="35" t="s">
        <v>736</v>
      </c>
      <c r="H570" s="35"/>
      <c r="I570" s="35"/>
      <c r="J570" s="13" t="str">
        <f>(C570)&amp;"-"&amp;(D570)&amp;"-"&amp;(E570)&amp;"-"&amp;(F570)&amp;"-"&amp;(G570)</f>
        <v>5001-PM03-BR-BR1-35-24-048</v>
      </c>
      <c r="K570" s="14">
        <f>LEN(J570)</f>
        <v>26</v>
      </c>
      <c r="L570" s="35" t="s">
        <v>1100</v>
      </c>
      <c r="M570" s="14">
        <f t="shared" si="42"/>
        <v>34</v>
      </c>
      <c r="AD570" s="36" t="s">
        <v>35</v>
      </c>
      <c r="AE570" s="14"/>
    </row>
    <row r="571" spans="2:30" s="15" customFormat="1" x14ac:dyDescent="0.25">
      <c r="B571" s="16">
        <v>2</v>
      </c>
      <c r="H571" s="15" t="s">
        <v>1101</v>
      </c>
      <c r="L571" s="15" t="s">
        <v>1102</v>
      </c>
      <c r="M571" s="16">
        <f t="shared" si="42"/>
        <v>38</v>
      </c>
      <c r="AD571" s="37" t="s">
        <v>35</v>
      </c>
    </row>
    <row r="572" spans="2:30" s="18" customFormat="1" x14ac:dyDescent="0.25">
      <c r="B572" s="19">
        <v>3</v>
      </c>
      <c r="I572" s="18" t="s">
        <v>1103</v>
      </c>
      <c r="L572" s="18" t="s">
        <v>1104</v>
      </c>
      <c r="M572" s="19">
        <f t="shared" si="42"/>
        <v>44</v>
      </c>
      <c r="AD572" s="18" t="s">
        <v>35</v>
      </c>
    </row>
    <row r="573" spans="2:30" s="18" customFormat="1" x14ac:dyDescent="0.25">
      <c r="B573" s="19">
        <v>3</v>
      </c>
      <c r="I573" s="18" t="s">
        <v>1105</v>
      </c>
      <c r="L573" s="18" t="s">
        <v>1106</v>
      </c>
      <c r="M573" s="19">
        <f t="shared" ref="M573:M636" si="43">LEN(L573)</f>
        <v>40</v>
      </c>
      <c r="AD573" s="18" t="s">
        <v>35</v>
      </c>
    </row>
    <row r="574" spans="2:30" s="18" customFormat="1" x14ac:dyDescent="0.25">
      <c r="B574" s="19">
        <v>3</v>
      </c>
      <c r="I574" s="18" t="s">
        <v>1107</v>
      </c>
      <c r="L574" s="18" t="s">
        <v>1108</v>
      </c>
      <c r="M574" s="19">
        <f t="shared" si="43"/>
        <v>38</v>
      </c>
      <c r="AD574" s="18" t="s">
        <v>35</v>
      </c>
    </row>
    <row r="575" spans="2:31" s="13" customFormat="1" x14ac:dyDescent="0.25">
      <c r="B575" s="14">
        <v>1</v>
      </c>
      <c r="C575" s="13">
        <v>5001</v>
      </c>
      <c r="D575" s="14" t="s">
        <v>31</v>
      </c>
      <c r="E575" s="14" t="s">
        <v>32</v>
      </c>
      <c r="F575" s="14" t="s">
        <v>34</v>
      </c>
      <c r="G575" s="35" t="s">
        <v>1109</v>
      </c>
      <c r="H575" s="35"/>
      <c r="I575" s="35"/>
      <c r="J575" s="13" t="str">
        <f>(C575)&amp;"-"&amp;(D575)&amp;"-"&amp;(E575)&amp;"-"&amp;(F575)&amp;"-"&amp;(G575)</f>
        <v>5001-PM03-BR-BR1-35-24-050</v>
      </c>
      <c r="K575" s="14">
        <f>LEN(J575)</f>
        <v>26</v>
      </c>
      <c r="L575" s="35" t="s">
        <v>1110</v>
      </c>
      <c r="M575" s="14">
        <f t="shared" si="43"/>
        <v>34</v>
      </c>
      <c r="AD575" s="36" t="s">
        <v>35</v>
      </c>
      <c r="AE575" s="14"/>
    </row>
    <row r="576" spans="2:30" s="15" customFormat="1" x14ac:dyDescent="0.25">
      <c r="B576" s="16">
        <v>2</v>
      </c>
      <c r="H576" s="15" t="s">
        <v>1101</v>
      </c>
      <c r="L576" s="15" t="s">
        <v>1102</v>
      </c>
      <c r="M576" s="16">
        <f t="shared" si="43"/>
        <v>38</v>
      </c>
      <c r="AD576" s="37" t="s">
        <v>35</v>
      </c>
    </row>
    <row r="577" spans="2:30" s="18" customFormat="1" x14ac:dyDescent="0.25">
      <c r="B577" s="19">
        <v>3</v>
      </c>
      <c r="I577" s="18" t="s">
        <v>1111</v>
      </c>
      <c r="L577" s="18" t="s">
        <v>1112</v>
      </c>
      <c r="M577" s="19">
        <f t="shared" si="43"/>
        <v>44</v>
      </c>
      <c r="AD577" s="18" t="s">
        <v>35</v>
      </c>
    </row>
    <row r="578" spans="2:30" s="18" customFormat="1" x14ac:dyDescent="0.25">
      <c r="B578" s="19">
        <v>3</v>
      </c>
      <c r="I578" s="18" t="s">
        <v>1113</v>
      </c>
      <c r="L578" s="18" t="s">
        <v>1114</v>
      </c>
      <c r="M578" s="19">
        <f t="shared" si="43"/>
        <v>40</v>
      </c>
      <c r="AD578" s="18" t="s">
        <v>35</v>
      </c>
    </row>
    <row r="579" spans="2:30" s="18" customFormat="1" x14ac:dyDescent="0.25">
      <c r="B579" s="19">
        <v>3</v>
      </c>
      <c r="I579" s="18" t="s">
        <v>1115</v>
      </c>
      <c r="L579" s="18" t="s">
        <v>1116</v>
      </c>
      <c r="M579" s="19">
        <f t="shared" si="43"/>
        <v>38</v>
      </c>
      <c r="AD579" s="18" t="s">
        <v>35</v>
      </c>
    </row>
    <row r="580" spans="2:31" s="13" customFormat="1" x14ac:dyDescent="0.25">
      <c r="B580" s="14">
        <v>1</v>
      </c>
      <c r="C580" s="13">
        <v>5001</v>
      </c>
      <c r="D580" s="14" t="s">
        <v>31</v>
      </c>
      <c r="E580" s="14" t="s">
        <v>32</v>
      </c>
      <c r="F580" s="14" t="s">
        <v>34</v>
      </c>
      <c r="G580" s="35" t="s">
        <v>1117</v>
      </c>
      <c r="H580" s="35"/>
      <c r="I580" s="35"/>
      <c r="J580" s="13" t="str">
        <f>(C580)&amp;"-"&amp;(D580)&amp;"-"&amp;(E580)&amp;"-"&amp;(F580)&amp;"-"&amp;(G580)</f>
        <v>5001-PM03-BR-BR1-35-24-061</v>
      </c>
      <c r="K580" s="14">
        <f>LEN(J580)</f>
        <v>26</v>
      </c>
      <c r="L580" s="35" t="s">
        <v>1118</v>
      </c>
      <c r="M580" s="14">
        <f t="shared" si="43"/>
        <v>34</v>
      </c>
      <c r="AD580" s="36" t="s">
        <v>35</v>
      </c>
      <c r="AE580" s="14"/>
    </row>
    <row r="581" spans="2:30" s="15" customFormat="1" x14ac:dyDescent="0.25">
      <c r="B581" s="16">
        <v>2</v>
      </c>
      <c r="H581" s="15" t="s">
        <v>1119</v>
      </c>
      <c r="L581" s="15" t="s">
        <v>1120</v>
      </c>
      <c r="M581" s="16">
        <f t="shared" si="43"/>
        <v>39</v>
      </c>
      <c r="AD581" s="37" t="s">
        <v>35</v>
      </c>
    </row>
    <row r="582" spans="2:30" s="18" customFormat="1" x14ac:dyDescent="0.25">
      <c r="B582" s="19">
        <v>3</v>
      </c>
      <c r="I582" s="18" t="s">
        <v>1121</v>
      </c>
      <c r="L582" s="18" t="s">
        <v>1122</v>
      </c>
      <c r="M582" s="19">
        <f t="shared" si="43"/>
        <v>44</v>
      </c>
      <c r="AD582" s="18" t="s">
        <v>35</v>
      </c>
    </row>
    <row r="583" spans="2:30" s="18" customFormat="1" x14ac:dyDescent="0.25">
      <c r="B583" s="19">
        <v>3</v>
      </c>
      <c r="I583" s="18" t="s">
        <v>1123</v>
      </c>
      <c r="L583" s="18" t="s">
        <v>1124</v>
      </c>
      <c r="M583" s="19">
        <f t="shared" si="43"/>
        <v>40</v>
      </c>
      <c r="AD583" s="18" t="s">
        <v>35</v>
      </c>
    </row>
    <row r="584" spans="2:30" s="18" customFormat="1" x14ac:dyDescent="0.25">
      <c r="B584" s="19">
        <v>3</v>
      </c>
      <c r="I584" s="18" t="s">
        <v>1125</v>
      </c>
      <c r="L584" s="18" t="s">
        <v>1126</v>
      </c>
      <c r="M584" s="19">
        <f t="shared" si="43"/>
        <v>38</v>
      </c>
      <c r="AD584" s="18" t="s">
        <v>35</v>
      </c>
    </row>
    <row r="585" spans="2:31" s="13" customFormat="1" x14ac:dyDescent="0.25">
      <c r="B585" s="14">
        <v>1</v>
      </c>
      <c r="C585" s="13">
        <v>5001</v>
      </c>
      <c r="D585" s="14" t="s">
        <v>31</v>
      </c>
      <c r="E585" s="14" t="s">
        <v>32</v>
      </c>
      <c r="F585" s="14" t="s">
        <v>34</v>
      </c>
      <c r="G585" s="35" t="s">
        <v>1127</v>
      </c>
      <c r="H585" s="35"/>
      <c r="I585" s="35"/>
      <c r="J585" s="13" t="str">
        <f>(C585)&amp;"-"&amp;(D585)&amp;"-"&amp;(E585)&amp;"-"&amp;(F585)&amp;"-"&amp;(G585)</f>
        <v>5001-PM03-BR-BR1-35-24-219</v>
      </c>
      <c r="K585" s="14">
        <f>LEN(J585)</f>
        <v>26</v>
      </c>
      <c r="L585" s="35" t="s">
        <v>1128</v>
      </c>
      <c r="M585" s="14">
        <f t="shared" si="43"/>
        <v>34</v>
      </c>
      <c r="AD585" s="36" t="s">
        <v>35</v>
      </c>
      <c r="AE585" s="14"/>
    </row>
    <row r="586" spans="2:30" s="15" customFormat="1" x14ac:dyDescent="0.25">
      <c r="B586" s="16">
        <v>2</v>
      </c>
      <c r="H586" s="15" t="s">
        <v>1129</v>
      </c>
      <c r="L586" s="15" t="s">
        <v>1130</v>
      </c>
      <c r="M586" s="16">
        <f t="shared" si="43"/>
        <v>38</v>
      </c>
      <c r="AD586" s="37" t="s">
        <v>35</v>
      </c>
    </row>
    <row r="587" spans="2:30" s="18" customFormat="1" x14ac:dyDescent="0.25">
      <c r="B587" s="19">
        <v>3</v>
      </c>
      <c r="I587" s="18" t="s">
        <v>1131</v>
      </c>
      <c r="L587" s="18" t="s">
        <v>1132</v>
      </c>
      <c r="M587" s="19">
        <f t="shared" si="43"/>
        <v>44</v>
      </c>
      <c r="AD587" s="18" t="s">
        <v>35</v>
      </c>
    </row>
    <row r="588" spans="2:30" s="18" customFormat="1" x14ac:dyDescent="0.25">
      <c r="B588" s="19">
        <v>3</v>
      </c>
      <c r="I588" s="18" t="s">
        <v>1133</v>
      </c>
      <c r="L588" s="18" t="s">
        <v>1134</v>
      </c>
      <c r="M588" s="19">
        <f t="shared" si="43"/>
        <v>40</v>
      </c>
      <c r="AD588" s="18" t="s">
        <v>35</v>
      </c>
    </row>
    <row r="589" spans="2:30" s="18" customFormat="1" x14ac:dyDescent="0.25">
      <c r="B589" s="19">
        <v>3</v>
      </c>
      <c r="I589" s="18" t="s">
        <v>1135</v>
      </c>
      <c r="L589" s="18" t="s">
        <v>1136</v>
      </c>
      <c r="M589" s="19">
        <f t="shared" si="43"/>
        <v>38</v>
      </c>
      <c r="AD589" s="18" t="s">
        <v>35</v>
      </c>
    </row>
    <row r="590" spans="2:31" s="13" customFormat="1" x14ac:dyDescent="0.25">
      <c r="B590" s="14">
        <v>1</v>
      </c>
      <c r="C590" s="13">
        <v>5001</v>
      </c>
      <c r="D590" s="14" t="s">
        <v>31</v>
      </c>
      <c r="E590" s="14" t="s">
        <v>32</v>
      </c>
      <c r="F590" s="14" t="s">
        <v>34</v>
      </c>
      <c r="G590" s="35" t="s">
        <v>1137</v>
      </c>
      <c r="H590" s="35"/>
      <c r="I590" s="35"/>
      <c r="J590" s="13" t="str">
        <f>(C590)&amp;"-"&amp;(D590)&amp;"-"&amp;(E590)&amp;"-"&amp;(F590)&amp;"-"&amp;(G590)</f>
        <v>5001-PM03-BR-BR1-35-24-068</v>
      </c>
      <c r="K590" s="14">
        <f>LEN(J590)</f>
        <v>26</v>
      </c>
      <c r="L590" s="35" t="s">
        <v>1138</v>
      </c>
      <c r="M590" s="14">
        <f t="shared" si="43"/>
        <v>34</v>
      </c>
      <c r="AD590" s="36" t="s">
        <v>35</v>
      </c>
      <c r="AE590" s="14"/>
    </row>
    <row r="591" spans="2:30" s="15" customFormat="1" x14ac:dyDescent="0.25">
      <c r="B591" s="16">
        <v>2</v>
      </c>
      <c r="H591" s="15" t="s">
        <v>667</v>
      </c>
      <c r="L591" s="15" t="s">
        <v>1139</v>
      </c>
      <c r="M591" s="16">
        <f t="shared" si="43"/>
        <v>38</v>
      </c>
      <c r="AD591" s="37" t="s">
        <v>35</v>
      </c>
    </row>
    <row r="592" spans="2:30" s="53" customFormat="1" x14ac:dyDescent="0.25">
      <c r="B592" s="19">
        <v>3</v>
      </c>
      <c r="I592" s="53" t="s">
        <v>1140</v>
      </c>
      <c r="L592" s="53" t="s">
        <v>1141</v>
      </c>
      <c r="M592" s="54">
        <f t="shared" si="43"/>
        <v>44</v>
      </c>
      <c r="AD592" s="53" t="s">
        <v>35</v>
      </c>
    </row>
    <row r="593" spans="2:30" s="53" customFormat="1" x14ac:dyDescent="0.25">
      <c r="B593" s="19">
        <v>3</v>
      </c>
      <c r="I593" s="53" t="s">
        <v>1142</v>
      </c>
      <c r="L593" s="53" t="s">
        <v>1143</v>
      </c>
      <c r="M593" s="54">
        <f t="shared" si="43"/>
        <v>40</v>
      </c>
      <c r="AD593" s="53" t="s">
        <v>35</v>
      </c>
    </row>
    <row r="594" spans="2:30" s="53" customFormat="1" x14ac:dyDescent="0.25">
      <c r="B594" s="19">
        <v>3</v>
      </c>
      <c r="I594" s="53" t="s">
        <v>1144</v>
      </c>
      <c r="L594" s="53" t="s">
        <v>1145</v>
      </c>
      <c r="M594" s="54">
        <f t="shared" si="43"/>
        <v>38</v>
      </c>
      <c r="AD594" s="53" t="s">
        <v>35</v>
      </c>
    </row>
    <row r="595" spans="2:31" s="13" customFormat="1" x14ac:dyDescent="0.25">
      <c r="B595" s="14">
        <v>1</v>
      </c>
      <c r="C595" s="13">
        <v>5001</v>
      </c>
      <c r="D595" s="14" t="s">
        <v>31</v>
      </c>
      <c r="E595" s="14" t="s">
        <v>32</v>
      </c>
      <c r="F595" s="14" t="s">
        <v>34</v>
      </c>
      <c r="G595" s="35" t="s">
        <v>1146</v>
      </c>
      <c r="H595" s="35"/>
      <c r="I595" s="35"/>
      <c r="J595" s="13" t="str">
        <f>(C595)&amp;"-"&amp;(D595)&amp;"-"&amp;(E595)&amp;"-"&amp;(F595)&amp;"-"&amp;(G595)</f>
        <v>5001-PM03-BR-BR1-35-24-076</v>
      </c>
      <c r="K595" s="14">
        <f>LEN(J595)</f>
        <v>26</v>
      </c>
      <c r="L595" s="35" t="s">
        <v>1147</v>
      </c>
      <c r="M595" s="14">
        <f t="shared" si="43"/>
        <v>34</v>
      </c>
      <c r="AD595" s="36" t="s">
        <v>35</v>
      </c>
      <c r="AE595" s="14"/>
    </row>
    <row r="596" spans="2:30" s="15" customFormat="1" x14ac:dyDescent="0.25">
      <c r="B596" s="16">
        <v>2</v>
      </c>
      <c r="H596" s="15" t="s">
        <v>1148</v>
      </c>
      <c r="L596" s="15" t="s">
        <v>1149</v>
      </c>
      <c r="M596" s="16">
        <f t="shared" si="43"/>
        <v>38</v>
      </c>
      <c r="AD596" s="37" t="s">
        <v>35</v>
      </c>
    </row>
    <row r="597" spans="2:31" s="18" customFormat="1" x14ac:dyDescent="0.25">
      <c r="B597" s="19">
        <v>3</v>
      </c>
      <c r="C597" s="53"/>
      <c r="D597" s="53"/>
      <c r="E597" s="53"/>
      <c r="F597" s="53"/>
      <c r="G597" s="53"/>
      <c r="H597" s="53"/>
      <c r="I597" s="53" t="s">
        <v>1150</v>
      </c>
      <c r="J597" s="53"/>
      <c r="K597" s="53"/>
      <c r="L597" s="53" t="s">
        <v>1151</v>
      </c>
      <c r="M597" s="54">
        <f t="shared" si="43"/>
        <v>44</v>
      </c>
      <c r="AD597" s="53" t="s">
        <v>35</v>
      </c>
      <c r="AE597" s="53"/>
    </row>
    <row r="598" spans="2:31" s="18" customFormat="1" x14ac:dyDescent="0.25">
      <c r="B598" s="19">
        <v>3</v>
      </c>
      <c r="C598" s="53"/>
      <c r="D598" s="53"/>
      <c r="E598" s="53"/>
      <c r="F598" s="53"/>
      <c r="G598" s="53"/>
      <c r="H598" s="53"/>
      <c r="I598" s="53" t="s">
        <v>1152</v>
      </c>
      <c r="J598" s="53"/>
      <c r="K598" s="53"/>
      <c r="L598" s="53" t="s">
        <v>1153</v>
      </c>
      <c r="M598" s="54">
        <f t="shared" si="43"/>
        <v>40</v>
      </c>
      <c r="AD598" s="53" t="s">
        <v>35</v>
      </c>
      <c r="AE598" s="53"/>
    </row>
    <row r="599" spans="2:31" s="18" customFormat="1" x14ac:dyDescent="0.25">
      <c r="B599" s="19">
        <v>3</v>
      </c>
      <c r="C599" s="53"/>
      <c r="D599" s="53"/>
      <c r="E599" s="53"/>
      <c r="F599" s="53"/>
      <c r="G599" s="53"/>
      <c r="H599" s="53"/>
      <c r="I599" s="53" t="s">
        <v>1154</v>
      </c>
      <c r="J599" s="53"/>
      <c r="K599" s="53"/>
      <c r="L599" s="53" t="s">
        <v>1155</v>
      </c>
      <c r="M599" s="54">
        <f t="shared" si="43"/>
        <v>38</v>
      </c>
      <c r="AD599" s="53" t="s">
        <v>35</v>
      </c>
      <c r="AE599" s="53"/>
    </row>
    <row r="600" spans="2:31" s="13" customFormat="1" x14ac:dyDescent="0.25">
      <c r="B600" s="14">
        <v>1</v>
      </c>
      <c r="C600" s="13">
        <v>5001</v>
      </c>
      <c r="D600" s="14" t="s">
        <v>31</v>
      </c>
      <c r="E600" s="14" t="s">
        <v>32</v>
      </c>
      <c r="F600" s="14" t="s">
        <v>34</v>
      </c>
      <c r="G600" s="35" t="s">
        <v>638</v>
      </c>
      <c r="H600" s="35"/>
      <c r="I600" s="35"/>
      <c r="J600" s="13" t="str">
        <f>(C600)&amp;"-"&amp;(D600)&amp;"-"&amp;(E600)&amp;"-"&amp;(F600)&amp;"-"&amp;(G600)</f>
        <v>5001-PM03-BR-BR1-35-24-079</v>
      </c>
      <c r="K600" s="14">
        <f>LEN(J600)</f>
        <v>26</v>
      </c>
      <c r="L600" s="35" t="s">
        <v>1156</v>
      </c>
      <c r="M600" s="14">
        <f t="shared" si="43"/>
        <v>34</v>
      </c>
      <c r="AD600" s="36" t="s">
        <v>35</v>
      </c>
      <c r="AE600" s="14"/>
    </row>
    <row r="601" spans="2:30" s="15" customFormat="1" x14ac:dyDescent="0.25">
      <c r="B601" s="16">
        <v>2</v>
      </c>
      <c r="H601" s="15" t="s">
        <v>1157</v>
      </c>
      <c r="L601" s="15" t="s">
        <v>1158</v>
      </c>
      <c r="M601" s="16">
        <f t="shared" si="43"/>
        <v>38</v>
      </c>
      <c r="AD601" s="37" t="s">
        <v>35</v>
      </c>
    </row>
    <row r="602" spans="2:31" s="18" customFormat="1" x14ac:dyDescent="0.25">
      <c r="B602" s="19">
        <v>3</v>
      </c>
      <c r="C602" s="53"/>
      <c r="D602" s="53"/>
      <c r="E602" s="53"/>
      <c r="F602" s="53"/>
      <c r="G602" s="53"/>
      <c r="H602" s="53"/>
      <c r="I602" s="53" t="s">
        <v>1159</v>
      </c>
      <c r="J602" s="53"/>
      <c r="K602" s="53"/>
      <c r="L602" s="53" t="s">
        <v>1160</v>
      </c>
      <c r="M602" s="54">
        <f t="shared" si="43"/>
        <v>44</v>
      </c>
      <c r="AD602" s="53" t="s">
        <v>35</v>
      </c>
      <c r="AE602" s="53"/>
    </row>
    <row r="603" spans="2:31" s="18" customFormat="1" x14ac:dyDescent="0.25">
      <c r="B603" s="19">
        <v>3</v>
      </c>
      <c r="C603" s="53"/>
      <c r="D603" s="53"/>
      <c r="E603" s="53"/>
      <c r="F603" s="53"/>
      <c r="G603" s="53"/>
      <c r="H603" s="53"/>
      <c r="I603" s="53" t="s">
        <v>1161</v>
      </c>
      <c r="J603" s="53"/>
      <c r="K603" s="53"/>
      <c r="L603" s="53" t="s">
        <v>1162</v>
      </c>
      <c r="M603" s="54">
        <f t="shared" si="43"/>
        <v>40</v>
      </c>
      <c r="AD603" s="53" t="s">
        <v>35</v>
      </c>
      <c r="AE603" s="53"/>
    </row>
    <row r="604" spans="2:31" s="18" customFormat="1" x14ac:dyDescent="0.25">
      <c r="B604" s="19">
        <v>3</v>
      </c>
      <c r="C604" s="53"/>
      <c r="D604" s="53"/>
      <c r="E604" s="53"/>
      <c r="F604" s="53"/>
      <c r="G604" s="53"/>
      <c r="H604" s="53"/>
      <c r="I604" s="53" t="s">
        <v>1163</v>
      </c>
      <c r="J604" s="53"/>
      <c r="K604" s="53"/>
      <c r="L604" s="53" t="s">
        <v>1164</v>
      </c>
      <c r="M604" s="54">
        <f t="shared" si="43"/>
        <v>38</v>
      </c>
      <c r="AD604" s="53" t="s">
        <v>35</v>
      </c>
      <c r="AE604" s="53"/>
    </row>
    <row r="605" spans="2:31" s="13" customFormat="1" x14ac:dyDescent="0.25">
      <c r="B605" s="14">
        <v>1</v>
      </c>
      <c r="C605" s="13">
        <v>5001</v>
      </c>
      <c r="D605" s="14" t="s">
        <v>31</v>
      </c>
      <c r="E605" s="14" t="s">
        <v>32</v>
      </c>
      <c r="F605" s="14" t="s">
        <v>34</v>
      </c>
      <c r="G605" s="35" t="s">
        <v>1165</v>
      </c>
      <c r="H605" s="35"/>
      <c r="I605" s="35"/>
      <c r="J605" s="13" t="str">
        <f>(C605)&amp;"-"&amp;(D605)&amp;"-"&amp;(E605)&amp;"-"&amp;(F605)&amp;"-"&amp;(G605)</f>
        <v>5001-PM03-BR-BR1-35-24-080</v>
      </c>
      <c r="K605" s="14">
        <f>LEN(J605)</f>
        <v>26</v>
      </c>
      <c r="L605" s="35" t="s">
        <v>1166</v>
      </c>
      <c r="M605" s="14">
        <f t="shared" si="43"/>
        <v>35</v>
      </c>
      <c r="AD605" s="36" t="s">
        <v>35</v>
      </c>
      <c r="AE605" s="14"/>
    </row>
    <row r="606" spans="2:30" s="15" customFormat="1" x14ac:dyDescent="0.25">
      <c r="B606" s="16">
        <v>2</v>
      </c>
      <c r="H606" s="15" t="s">
        <v>1167</v>
      </c>
      <c r="L606" s="15" t="s">
        <v>1168</v>
      </c>
      <c r="M606" s="16">
        <f t="shared" si="43"/>
        <v>38</v>
      </c>
      <c r="AD606" s="37" t="s">
        <v>35</v>
      </c>
    </row>
    <row r="607" spans="2:31" s="18" customFormat="1" x14ac:dyDescent="0.25">
      <c r="B607" s="19">
        <v>3</v>
      </c>
      <c r="C607" s="53"/>
      <c r="D607" s="53"/>
      <c r="E607" s="53"/>
      <c r="F607" s="53"/>
      <c r="G607" s="53"/>
      <c r="H607" s="53"/>
      <c r="I607" s="53" t="s">
        <v>1169</v>
      </c>
      <c r="J607" s="53"/>
      <c r="K607" s="53"/>
      <c r="L607" s="53" t="s">
        <v>1170</v>
      </c>
      <c r="M607" s="54">
        <f t="shared" si="43"/>
        <v>44</v>
      </c>
      <c r="AD607" s="53" t="s">
        <v>35</v>
      </c>
      <c r="AE607" s="53"/>
    </row>
    <row r="608" spans="2:31" s="18" customFormat="1" x14ac:dyDescent="0.25">
      <c r="B608" s="19">
        <v>3</v>
      </c>
      <c r="C608" s="53"/>
      <c r="D608" s="53"/>
      <c r="E608" s="53"/>
      <c r="F608" s="53"/>
      <c r="G608" s="53"/>
      <c r="H608" s="53"/>
      <c r="I608" s="53" t="s">
        <v>1171</v>
      </c>
      <c r="J608" s="53"/>
      <c r="K608" s="53"/>
      <c r="L608" s="53" t="s">
        <v>1172</v>
      </c>
      <c r="M608" s="54">
        <f t="shared" si="43"/>
        <v>40</v>
      </c>
      <c r="AD608" s="53" t="s">
        <v>35</v>
      </c>
      <c r="AE608" s="53"/>
    </row>
    <row r="609" spans="2:31" s="18" customFormat="1" x14ac:dyDescent="0.25">
      <c r="B609" s="19">
        <v>3</v>
      </c>
      <c r="C609" s="53"/>
      <c r="D609" s="53"/>
      <c r="E609" s="53"/>
      <c r="F609" s="53"/>
      <c r="G609" s="53"/>
      <c r="H609" s="53"/>
      <c r="I609" s="53" t="s">
        <v>1173</v>
      </c>
      <c r="J609" s="53"/>
      <c r="K609" s="53"/>
      <c r="L609" s="53" t="s">
        <v>1174</v>
      </c>
      <c r="M609" s="54">
        <f t="shared" si="43"/>
        <v>38</v>
      </c>
      <c r="AD609" s="53" t="s">
        <v>35</v>
      </c>
      <c r="AE609" s="53"/>
    </row>
    <row r="610" spans="2:31" s="13" customFormat="1" x14ac:dyDescent="0.25">
      <c r="B610" s="14">
        <v>1</v>
      </c>
      <c r="C610" s="13">
        <v>5001</v>
      </c>
      <c r="D610" s="14" t="s">
        <v>31</v>
      </c>
      <c r="E610" s="14" t="s">
        <v>32</v>
      </c>
      <c r="F610" s="14" t="s">
        <v>34</v>
      </c>
      <c r="G610" s="35" t="s">
        <v>1175</v>
      </c>
      <c r="H610" s="35"/>
      <c r="I610" s="35"/>
      <c r="J610" s="13" t="str">
        <f>(C610)&amp;"-"&amp;(D610)&amp;"-"&amp;(E610)&amp;"-"&amp;(F610)&amp;"-"&amp;(G610)</f>
        <v>5001-PM03-BR-BR1-35-24-097</v>
      </c>
      <c r="K610" s="14">
        <f>LEN(J610)</f>
        <v>26</v>
      </c>
      <c r="L610" s="35" t="s">
        <v>1176</v>
      </c>
      <c r="M610" s="14">
        <f t="shared" si="43"/>
        <v>34</v>
      </c>
      <c r="AD610" s="36" t="s">
        <v>35</v>
      </c>
      <c r="AE610" s="14"/>
    </row>
    <row r="611" spans="2:30" s="15" customFormat="1" x14ac:dyDescent="0.25">
      <c r="B611" s="16">
        <v>2</v>
      </c>
      <c r="H611" s="15" t="s">
        <v>1177</v>
      </c>
      <c r="L611" s="15" t="s">
        <v>1178</v>
      </c>
      <c r="M611" s="16">
        <f t="shared" si="43"/>
        <v>38</v>
      </c>
      <c r="AD611" s="37" t="s">
        <v>35</v>
      </c>
    </row>
    <row r="612" spans="2:31" s="18" customFormat="1" x14ac:dyDescent="0.25">
      <c r="B612" s="19">
        <v>3</v>
      </c>
      <c r="C612" s="53"/>
      <c r="D612" s="53"/>
      <c r="E612" s="53"/>
      <c r="F612" s="53"/>
      <c r="G612" s="53"/>
      <c r="H612" s="53"/>
      <c r="I612" s="53" t="s">
        <v>1179</v>
      </c>
      <c r="J612" s="53"/>
      <c r="K612" s="53"/>
      <c r="L612" s="53" t="s">
        <v>1180</v>
      </c>
      <c r="M612" s="54">
        <f t="shared" si="43"/>
        <v>44</v>
      </c>
      <c r="AD612" s="53" t="s">
        <v>35</v>
      </c>
      <c r="AE612" s="53"/>
    </row>
    <row r="613" spans="2:31" s="18" customFormat="1" x14ac:dyDescent="0.25">
      <c r="B613" s="19">
        <v>3</v>
      </c>
      <c r="C613" s="53"/>
      <c r="D613" s="53"/>
      <c r="E613" s="53"/>
      <c r="F613" s="53"/>
      <c r="G613" s="53"/>
      <c r="H613" s="53"/>
      <c r="I613" s="53" t="s">
        <v>1181</v>
      </c>
      <c r="J613" s="53"/>
      <c r="K613" s="53"/>
      <c r="L613" s="53" t="s">
        <v>1182</v>
      </c>
      <c r="M613" s="54">
        <f t="shared" si="43"/>
        <v>40</v>
      </c>
      <c r="AD613" s="53" t="s">
        <v>35</v>
      </c>
      <c r="AE613" s="53"/>
    </row>
    <row r="614" spans="2:31" s="18" customFormat="1" x14ac:dyDescent="0.25">
      <c r="B614" s="19">
        <v>3</v>
      </c>
      <c r="C614" s="53"/>
      <c r="D614" s="53"/>
      <c r="E614" s="53"/>
      <c r="F614" s="53"/>
      <c r="G614" s="53"/>
      <c r="H614" s="53"/>
      <c r="I614" s="53" t="s">
        <v>1183</v>
      </c>
      <c r="J614" s="53"/>
      <c r="K614" s="53"/>
      <c r="L614" s="53" t="s">
        <v>1184</v>
      </c>
      <c r="M614" s="54">
        <f t="shared" si="43"/>
        <v>38</v>
      </c>
      <c r="AD614" s="53" t="s">
        <v>35</v>
      </c>
      <c r="AE614" s="53"/>
    </row>
    <row r="615" spans="2:31" s="13" customFormat="1" x14ac:dyDescent="0.25">
      <c r="B615" s="14">
        <v>1</v>
      </c>
      <c r="C615" s="13">
        <v>5001</v>
      </c>
      <c r="D615" s="14" t="s">
        <v>31</v>
      </c>
      <c r="E615" s="14" t="s">
        <v>32</v>
      </c>
      <c r="F615" s="14" t="s">
        <v>34</v>
      </c>
      <c r="G615" s="35" t="s">
        <v>1185</v>
      </c>
      <c r="H615" s="35"/>
      <c r="I615" s="35"/>
      <c r="J615" s="13" t="str">
        <f>(C615)&amp;"-"&amp;(D615)&amp;"-"&amp;(E615)&amp;"-"&amp;(F615)&amp;"-"&amp;(G615)</f>
        <v>5001-PM03-BR-BR1-35-24-099</v>
      </c>
      <c r="K615" s="14">
        <f>LEN(J615)</f>
        <v>26</v>
      </c>
      <c r="L615" s="35" t="s">
        <v>1186</v>
      </c>
      <c r="M615" s="14">
        <f t="shared" si="43"/>
        <v>34</v>
      </c>
      <c r="AD615" s="36" t="s">
        <v>35</v>
      </c>
      <c r="AE615" s="14"/>
    </row>
    <row r="616" spans="2:30" s="15" customFormat="1" x14ac:dyDescent="0.25">
      <c r="B616" s="16">
        <v>2</v>
      </c>
      <c r="H616" s="15" t="s">
        <v>1187</v>
      </c>
      <c r="L616" s="15" t="s">
        <v>1188</v>
      </c>
      <c r="M616" s="16">
        <f t="shared" si="43"/>
        <v>38</v>
      </c>
      <c r="AD616" s="37" t="s">
        <v>35</v>
      </c>
    </row>
    <row r="617" spans="2:31" s="18" customFormat="1" x14ac:dyDescent="0.25">
      <c r="B617" s="19">
        <v>3</v>
      </c>
      <c r="C617" s="53"/>
      <c r="D617" s="53"/>
      <c r="E617" s="53"/>
      <c r="F617" s="53"/>
      <c r="G617" s="53"/>
      <c r="H617" s="53"/>
      <c r="I617" s="53" t="s">
        <v>1189</v>
      </c>
      <c r="J617" s="53"/>
      <c r="K617" s="53"/>
      <c r="L617" s="53" t="s">
        <v>1190</v>
      </c>
      <c r="M617" s="54">
        <f t="shared" si="43"/>
        <v>44</v>
      </c>
      <c r="AD617" s="53" t="s">
        <v>35</v>
      </c>
      <c r="AE617" s="53"/>
    </row>
    <row r="618" spans="2:31" s="18" customFormat="1" x14ac:dyDescent="0.25">
      <c r="B618" s="19">
        <v>3</v>
      </c>
      <c r="C618" s="53"/>
      <c r="D618" s="53"/>
      <c r="E618" s="53"/>
      <c r="F618" s="53"/>
      <c r="G618" s="53"/>
      <c r="H618" s="53"/>
      <c r="I618" s="53" t="s">
        <v>1191</v>
      </c>
      <c r="J618" s="53"/>
      <c r="K618" s="53"/>
      <c r="L618" s="53" t="s">
        <v>1192</v>
      </c>
      <c r="M618" s="54">
        <f t="shared" si="43"/>
        <v>40</v>
      </c>
      <c r="AD618" s="53" t="s">
        <v>35</v>
      </c>
      <c r="AE618" s="53"/>
    </row>
    <row r="619" spans="2:31" s="18" customFormat="1" x14ac:dyDescent="0.25">
      <c r="B619" s="19">
        <v>3</v>
      </c>
      <c r="C619" s="53"/>
      <c r="D619" s="53"/>
      <c r="E619" s="53"/>
      <c r="F619" s="53"/>
      <c r="G619" s="53"/>
      <c r="H619" s="53"/>
      <c r="I619" s="53" t="s">
        <v>1193</v>
      </c>
      <c r="J619" s="53"/>
      <c r="K619" s="53"/>
      <c r="L619" s="53" t="s">
        <v>1194</v>
      </c>
      <c r="M619" s="54">
        <f t="shared" si="43"/>
        <v>38</v>
      </c>
      <c r="AD619" s="53" t="s">
        <v>35</v>
      </c>
      <c r="AE619" s="53"/>
    </row>
    <row r="620" spans="2:31" s="13" customFormat="1" x14ac:dyDescent="0.25">
      <c r="B620" s="14">
        <v>1</v>
      </c>
      <c r="C620" s="13">
        <v>5001</v>
      </c>
      <c r="D620" s="14" t="s">
        <v>31</v>
      </c>
      <c r="E620" s="14" t="s">
        <v>32</v>
      </c>
      <c r="F620" s="14" t="s">
        <v>34</v>
      </c>
      <c r="G620" s="35" t="s">
        <v>1195</v>
      </c>
      <c r="H620" s="35"/>
      <c r="I620" s="35"/>
      <c r="J620" s="13" t="str">
        <f>(C620)&amp;"-"&amp;(D620)&amp;"-"&amp;(E620)&amp;"-"&amp;(F620)&amp;"-"&amp;(G620)</f>
        <v>5001-PM03-BR-BR1-35-24-102</v>
      </c>
      <c r="K620" s="14">
        <f>LEN(J620)</f>
        <v>26</v>
      </c>
      <c r="L620" s="35" t="s">
        <v>1196</v>
      </c>
      <c r="M620" s="14">
        <f t="shared" si="43"/>
        <v>34</v>
      </c>
      <c r="AD620" s="36" t="s">
        <v>35</v>
      </c>
      <c r="AE620" s="14"/>
    </row>
    <row r="621" spans="2:30" s="15" customFormat="1" x14ac:dyDescent="0.25">
      <c r="B621" s="16">
        <v>2</v>
      </c>
      <c r="H621" s="15" t="s">
        <v>1197</v>
      </c>
      <c r="L621" s="15" t="s">
        <v>1198</v>
      </c>
      <c r="M621" s="16">
        <f t="shared" si="43"/>
        <v>38</v>
      </c>
      <c r="AD621" s="37" t="s">
        <v>35</v>
      </c>
    </row>
    <row r="622" spans="2:31" s="18" customFormat="1" x14ac:dyDescent="0.25">
      <c r="B622" s="19">
        <v>3</v>
      </c>
      <c r="C622" s="53"/>
      <c r="D622" s="53"/>
      <c r="E622" s="53"/>
      <c r="F622" s="53"/>
      <c r="G622" s="53"/>
      <c r="H622" s="53"/>
      <c r="I622" s="53" t="s">
        <v>1199</v>
      </c>
      <c r="J622" s="53"/>
      <c r="K622" s="53"/>
      <c r="L622" s="53" t="s">
        <v>1200</v>
      </c>
      <c r="M622" s="54">
        <f t="shared" si="43"/>
        <v>44</v>
      </c>
      <c r="AD622" s="53" t="s">
        <v>35</v>
      </c>
      <c r="AE622" s="53"/>
    </row>
    <row r="623" spans="2:31" s="18" customFormat="1" x14ac:dyDescent="0.25">
      <c r="B623" s="19">
        <v>3</v>
      </c>
      <c r="C623" s="53"/>
      <c r="D623" s="53"/>
      <c r="E623" s="53"/>
      <c r="F623" s="53"/>
      <c r="G623" s="53"/>
      <c r="H623" s="53"/>
      <c r="I623" s="53" t="s">
        <v>1201</v>
      </c>
      <c r="J623" s="53"/>
      <c r="K623" s="53"/>
      <c r="L623" s="53" t="s">
        <v>1202</v>
      </c>
      <c r="M623" s="54">
        <f t="shared" si="43"/>
        <v>40</v>
      </c>
      <c r="AD623" s="53" t="s">
        <v>35</v>
      </c>
      <c r="AE623" s="53"/>
    </row>
    <row r="624" spans="2:31" s="18" customFormat="1" x14ac:dyDescent="0.25">
      <c r="B624" s="19">
        <v>3</v>
      </c>
      <c r="C624" s="53"/>
      <c r="D624" s="53"/>
      <c r="E624" s="53"/>
      <c r="F624" s="53"/>
      <c r="G624" s="53"/>
      <c r="H624" s="53"/>
      <c r="I624" s="53" t="s">
        <v>1203</v>
      </c>
      <c r="J624" s="53"/>
      <c r="K624" s="53"/>
      <c r="L624" s="53" t="s">
        <v>1204</v>
      </c>
      <c r="M624" s="54">
        <f t="shared" si="43"/>
        <v>38</v>
      </c>
      <c r="AD624" s="53" t="s">
        <v>35</v>
      </c>
      <c r="AE624" s="53"/>
    </row>
    <row r="625" spans="2:31" s="13" customFormat="1" x14ac:dyDescent="0.25">
      <c r="B625" s="14">
        <v>1</v>
      </c>
      <c r="C625" s="13">
        <v>5001</v>
      </c>
      <c r="D625" s="14" t="s">
        <v>31</v>
      </c>
      <c r="E625" s="14" t="s">
        <v>32</v>
      </c>
      <c r="F625" s="14" t="s">
        <v>34</v>
      </c>
      <c r="G625" s="35" t="s">
        <v>1167</v>
      </c>
      <c r="H625" s="35"/>
      <c r="I625" s="35"/>
      <c r="J625" s="13" t="str">
        <f>(C625)&amp;"-"&amp;(D625)&amp;"-"&amp;(E625)&amp;"-"&amp;(F625)&amp;"-"&amp;(G625)</f>
        <v>5001-PM03-BR-BR1-35-24-104</v>
      </c>
      <c r="K625" s="14">
        <f>LEN(J625)</f>
        <v>26</v>
      </c>
      <c r="L625" s="35" t="s">
        <v>1205</v>
      </c>
      <c r="M625" s="14">
        <f t="shared" si="43"/>
        <v>34</v>
      </c>
      <c r="AD625" s="36" t="s">
        <v>35</v>
      </c>
      <c r="AE625" s="14"/>
    </row>
    <row r="626" spans="2:30" s="15" customFormat="1" x14ac:dyDescent="0.25">
      <c r="B626" s="16">
        <v>2</v>
      </c>
      <c r="H626" s="15" t="s">
        <v>1206</v>
      </c>
      <c r="L626" s="15" t="s">
        <v>1207</v>
      </c>
      <c r="M626" s="16">
        <f t="shared" si="43"/>
        <v>39</v>
      </c>
      <c r="AD626" s="37" t="s">
        <v>35</v>
      </c>
    </row>
    <row r="627" spans="2:31" s="18" customFormat="1" x14ac:dyDescent="0.25">
      <c r="B627" s="19">
        <v>3</v>
      </c>
      <c r="C627" s="53"/>
      <c r="D627" s="53"/>
      <c r="E627" s="53"/>
      <c r="F627" s="53"/>
      <c r="G627" s="53"/>
      <c r="H627" s="53"/>
      <c r="I627" s="53" t="s">
        <v>1208</v>
      </c>
      <c r="J627" s="53"/>
      <c r="K627" s="53"/>
      <c r="L627" s="53" t="s">
        <v>1209</v>
      </c>
      <c r="M627" s="54">
        <f t="shared" si="43"/>
        <v>44</v>
      </c>
      <c r="AD627" s="53" t="s">
        <v>35</v>
      </c>
      <c r="AE627" s="53"/>
    </row>
    <row r="628" spans="2:31" s="18" customFormat="1" x14ac:dyDescent="0.25">
      <c r="B628" s="19">
        <v>3</v>
      </c>
      <c r="C628" s="53"/>
      <c r="D628" s="53"/>
      <c r="E628" s="53"/>
      <c r="F628" s="53"/>
      <c r="G628" s="53"/>
      <c r="H628" s="53"/>
      <c r="I628" s="53" t="s">
        <v>1210</v>
      </c>
      <c r="J628" s="53"/>
      <c r="K628" s="53"/>
      <c r="L628" s="53" t="s">
        <v>1211</v>
      </c>
      <c r="M628" s="54">
        <f t="shared" si="43"/>
        <v>40</v>
      </c>
      <c r="AD628" s="53" t="s">
        <v>35</v>
      </c>
      <c r="AE628" s="53"/>
    </row>
    <row r="629" spans="2:31" s="18" customFormat="1" x14ac:dyDescent="0.25">
      <c r="B629" s="19">
        <v>3</v>
      </c>
      <c r="C629" s="53"/>
      <c r="D629" s="53"/>
      <c r="E629" s="53"/>
      <c r="F629" s="53"/>
      <c r="G629" s="53"/>
      <c r="H629" s="53"/>
      <c r="I629" s="53" t="s">
        <v>1212</v>
      </c>
      <c r="J629" s="53"/>
      <c r="K629" s="53"/>
      <c r="L629" s="53" t="s">
        <v>1213</v>
      </c>
      <c r="M629" s="54">
        <f t="shared" si="43"/>
        <v>38</v>
      </c>
      <c r="AD629" s="53" t="s">
        <v>35</v>
      </c>
      <c r="AE629" s="53"/>
    </row>
    <row r="630" spans="2:31" s="13" customFormat="1" x14ac:dyDescent="0.25">
      <c r="B630" s="14">
        <v>1</v>
      </c>
      <c r="C630" s="13">
        <v>5001</v>
      </c>
      <c r="D630" s="14" t="s">
        <v>31</v>
      </c>
      <c r="E630" s="14" t="s">
        <v>32</v>
      </c>
      <c r="F630" s="14" t="s">
        <v>34</v>
      </c>
      <c r="G630" s="35" t="s">
        <v>483</v>
      </c>
      <c r="H630" s="35"/>
      <c r="I630" s="35"/>
      <c r="J630" s="13" t="str">
        <f>(C630)&amp;"-"&amp;(D630)&amp;"-"&amp;(E630)&amp;"-"&amp;(F630)&amp;"-"&amp;(G630)</f>
        <v>5001-PM03-BR-BR1-35-24-121</v>
      </c>
      <c r="K630" s="14">
        <f>LEN(J630)</f>
        <v>26</v>
      </c>
      <c r="L630" s="35" t="s">
        <v>1214</v>
      </c>
      <c r="M630" s="14">
        <f t="shared" si="43"/>
        <v>34</v>
      </c>
      <c r="AD630" s="36" t="s">
        <v>35</v>
      </c>
      <c r="AE630" s="14"/>
    </row>
    <row r="631" spans="2:30" s="15" customFormat="1" x14ac:dyDescent="0.25">
      <c r="B631" s="16">
        <v>2</v>
      </c>
      <c r="H631" s="15" t="s">
        <v>1215</v>
      </c>
      <c r="L631" s="15" t="s">
        <v>1216</v>
      </c>
      <c r="M631" s="16">
        <f t="shared" si="43"/>
        <v>38</v>
      </c>
      <c r="AD631" s="37" t="s">
        <v>35</v>
      </c>
    </row>
    <row r="632" spans="2:31" s="18" customFormat="1" x14ac:dyDescent="0.25">
      <c r="B632" s="19">
        <v>3</v>
      </c>
      <c r="C632" s="53"/>
      <c r="D632" s="53"/>
      <c r="E632" s="53"/>
      <c r="F632" s="53"/>
      <c r="G632" s="53"/>
      <c r="H632" s="53"/>
      <c r="I632" s="53" t="s">
        <v>1217</v>
      </c>
      <c r="J632" s="53"/>
      <c r="K632" s="53"/>
      <c r="L632" s="53" t="s">
        <v>1218</v>
      </c>
      <c r="M632" s="54">
        <f t="shared" si="43"/>
        <v>44</v>
      </c>
      <c r="AD632" s="53" t="s">
        <v>35</v>
      </c>
      <c r="AE632" s="53"/>
    </row>
    <row r="633" spans="2:31" s="18" customFormat="1" x14ac:dyDescent="0.25">
      <c r="B633" s="19">
        <v>3</v>
      </c>
      <c r="C633" s="53"/>
      <c r="D633" s="53"/>
      <c r="E633" s="53"/>
      <c r="F633" s="53"/>
      <c r="G633" s="53"/>
      <c r="H633" s="53"/>
      <c r="I633" s="53" t="s">
        <v>1219</v>
      </c>
      <c r="J633" s="53"/>
      <c r="K633" s="53"/>
      <c r="L633" s="53" t="s">
        <v>1220</v>
      </c>
      <c r="M633" s="54">
        <f t="shared" si="43"/>
        <v>40</v>
      </c>
      <c r="AD633" s="53" t="s">
        <v>35</v>
      </c>
      <c r="AE633" s="53"/>
    </row>
    <row r="634" spans="2:31" s="18" customFormat="1" x14ac:dyDescent="0.25">
      <c r="B634" s="19">
        <v>3</v>
      </c>
      <c r="C634" s="53"/>
      <c r="D634" s="53"/>
      <c r="E634" s="53"/>
      <c r="F634" s="53"/>
      <c r="G634" s="53"/>
      <c r="H634" s="53"/>
      <c r="I634" s="53" t="s">
        <v>1221</v>
      </c>
      <c r="J634" s="53"/>
      <c r="K634" s="53"/>
      <c r="L634" s="53" t="s">
        <v>1222</v>
      </c>
      <c r="M634" s="54">
        <f t="shared" si="43"/>
        <v>38</v>
      </c>
      <c r="AD634" s="53" t="s">
        <v>35</v>
      </c>
      <c r="AE634" s="53"/>
    </row>
    <row r="635" spans="2:31" s="13" customFormat="1" x14ac:dyDescent="0.25">
      <c r="B635" s="14">
        <v>1</v>
      </c>
      <c r="C635" s="13">
        <v>5001</v>
      </c>
      <c r="D635" s="14" t="s">
        <v>31</v>
      </c>
      <c r="E635" s="14" t="s">
        <v>32</v>
      </c>
      <c r="F635" s="14" t="s">
        <v>34</v>
      </c>
      <c r="G635" s="35" t="s">
        <v>1223</v>
      </c>
      <c r="H635" s="35"/>
      <c r="I635" s="35"/>
      <c r="J635" s="13" t="str">
        <f>(C635)&amp;"-"&amp;(D635)&amp;"-"&amp;(E635)&amp;"-"&amp;(F635)&amp;"-"&amp;(G635)</f>
        <v>5001-PM03-BR-BR1-35-24-122</v>
      </c>
      <c r="K635" s="14">
        <f>LEN(J635)</f>
        <v>26</v>
      </c>
      <c r="L635" s="35" t="s">
        <v>1224</v>
      </c>
      <c r="M635" s="14">
        <f t="shared" si="43"/>
        <v>34</v>
      </c>
      <c r="AD635" s="36" t="s">
        <v>35</v>
      </c>
      <c r="AE635" s="14"/>
    </row>
    <row r="636" spans="2:30" s="15" customFormat="1" x14ac:dyDescent="0.25">
      <c r="B636" s="16">
        <v>2</v>
      </c>
      <c r="H636" s="15" t="s">
        <v>1225</v>
      </c>
      <c r="L636" s="15" t="s">
        <v>1226</v>
      </c>
      <c r="M636" s="16">
        <f t="shared" si="43"/>
        <v>38</v>
      </c>
      <c r="AD636" s="37" t="s">
        <v>35</v>
      </c>
    </row>
    <row r="637" spans="2:31" s="18" customFormat="1" x14ac:dyDescent="0.25">
      <c r="B637" s="19">
        <v>3</v>
      </c>
      <c r="C637" s="53"/>
      <c r="D637" s="53"/>
      <c r="E637" s="53"/>
      <c r="F637" s="53"/>
      <c r="G637" s="53"/>
      <c r="H637" s="53"/>
      <c r="I637" s="53" t="s">
        <v>1227</v>
      </c>
      <c r="J637" s="53"/>
      <c r="K637" s="53"/>
      <c r="L637" s="53" t="s">
        <v>1228</v>
      </c>
      <c r="M637" s="54">
        <f t="shared" ref="M637:M686" si="44">LEN(L637)</f>
        <v>44</v>
      </c>
      <c r="AD637" s="53" t="s">
        <v>35</v>
      </c>
      <c r="AE637" s="53"/>
    </row>
    <row r="638" spans="2:31" s="18" customFormat="1" x14ac:dyDescent="0.25">
      <c r="B638" s="19">
        <v>3</v>
      </c>
      <c r="C638" s="53"/>
      <c r="D638" s="53"/>
      <c r="E638" s="53"/>
      <c r="F638" s="53"/>
      <c r="G638" s="53"/>
      <c r="H638" s="53"/>
      <c r="I638" s="53" t="s">
        <v>1229</v>
      </c>
      <c r="J638" s="53"/>
      <c r="K638" s="53"/>
      <c r="L638" s="53" t="s">
        <v>1230</v>
      </c>
      <c r="M638" s="54">
        <f t="shared" si="44"/>
        <v>40</v>
      </c>
      <c r="AD638" s="53" t="s">
        <v>35</v>
      </c>
      <c r="AE638" s="53"/>
    </row>
    <row r="639" spans="2:31" s="18" customFormat="1" x14ac:dyDescent="0.25">
      <c r="B639" s="19">
        <v>3</v>
      </c>
      <c r="C639" s="53"/>
      <c r="D639" s="53"/>
      <c r="E639" s="53"/>
      <c r="F639" s="53"/>
      <c r="G639" s="53"/>
      <c r="H639" s="53"/>
      <c r="I639" s="53" t="s">
        <v>1231</v>
      </c>
      <c r="J639" s="53"/>
      <c r="K639" s="53"/>
      <c r="L639" s="53" t="s">
        <v>1232</v>
      </c>
      <c r="M639" s="54">
        <f t="shared" si="44"/>
        <v>38</v>
      </c>
      <c r="AD639" s="53" t="s">
        <v>35</v>
      </c>
      <c r="AE639" s="53"/>
    </row>
    <row r="640" spans="2:31" s="13" customFormat="1" x14ac:dyDescent="0.25">
      <c r="B640" s="14">
        <v>1</v>
      </c>
      <c r="C640" s="13">
        <v>5001</v>
      </c>
      <c r="D640" s="14" t="s">
        <v>31</v>
      </c>
      <c r="E640" s="14" t="s">
        <v>32</v>
      </c>
      <c r="F640" s="14" t="s">
        <v>34</v>
      </c>
      <c r="G640" s="35" t="s">
        <v>487</v>
      </c>
      <c r="H640" s="35"/>
      <c r="I640" s="35"/>
      <c r="J640" s="13" t="str">
        <f>(C640)&amp;"-"&amp;(D640)&amp;"-"&amp;(E640)&amp;"-"&amp;(F640)&amp;"-"&amp;(G640)</f>
        <v>5001-PM03-BR-BR1-35-24-123</v>
      </c>
      <c r="K640" s="14">
        <f>LEN(J640)</f>
        <v>26</v>
      </c>
      <c r="L640" s="35" t="s">
        <v>1233</v>
      </c>
      <c r="M640" s="14">
        <f t="shared" si="44"/>
        <v>35</v>
      </c>
      <c r="AD640" s="36" t="s">
        <v>35</v>
      </c>
      <c r="AE640" s="14"/>
    </row>
    <row r="641" spans="2:30" s="15" customFormat="1" x14ac:dyDescent="0.25">
      <c r="B641" s="16">
        <v>2</v>
      </c>
      <c r="H641" s="15" t="s">
        <v>1234</v>
      </c>
      <c r="L641" s="15" t="s">
        <v>1235</v>
      </c>
      <c r="M641" s="16">
        <f t="shared" si="44"/>
        <v>39</v>
      </c>
      <c r="AD641" s="37" t="s">
        <v>35</v>
      </c>
    </row>
    <row r="642" spans="2:31" s="18" customFormat="1" x14ac:dyDescent="0.25">
      <c r="B642" s="19">
        <v>3</v>
      </c>
      <c r="C642" s="53"/>
      <c r="D642" s="53"/>
      <c r="E642" s="53"/>
      <c r="F642" s="53"/>
      <c r="G642" s="53"/>
      <c r="H642" s="53"/>
      <c r="I642" s="53" t="s">
        <v>1236</v>
      </c>
      <c r="J642" s="53"/>
      <c r="K642" s="53"/>
      <c r="L642" s="53" t="s">
        <v>1237</v>
      </c>
      <c r="M642" s="54">
        <f t="shared" si="44"/>
        <v>44</v>
      </c>
      <c r="AD642" s="53" t="s">
        <v>35</v>
      </c>
      <c r="AE642" s="53"/>
    </row>
    <row r="643" spans="2:31" s="18" customFormat="1" x14ac:dyDescent="0.25">
      <c r="B643" s="19">
        <v>3</v>
      </c>
      <c r="C643" s="53"/>
      <c r="D643" s="53"/>
      <c r="E643" s="53"/>
      <c r="F643" s="53"/>
      <c r="G643" s="53"/>
      <c r="H643" s="53"/>
      <c r="I643" s="53" t="s">
        <v>1238</v>
      </c>
      <c r="J643" s="53"/>
      <c r="K643" s="53"/>
      <c r="L643" s="53" t="s">
        <v>1239</v>
      </c>
      <c r="M643" s="54">
        <f t="shared" si="44"/>
        <v>40</v>
      </c>
      <c r="AD643" s="53" t="s">
        <v>35</v>
      </c>
      <c r="AE643" s="53"/>
    </row>
    <row r="644" spans="2:31" s="18" customFormat="1" x14ac:dyDescent="0.25">
      <c r="B644" s="19">
        <v>3</v>
      </c>
      <c r="C644" s="53"/>
      <c r="D644" s="53"/>
      <c r="E644" s="53"/>
      <c r="F644" s="53"/>
      <c r="G644" s="53"/>
      <c r="H644" s="53"/>
      <c r="I644" s="53" t="s">
        <v>1240</v>
      </c>
      <c r="J644" s="53"/>
      <c r="K644" s="53"/>
      <c r="L644" s="53" t="s">
        <v>1241</v>
      </c>
      <c r="M644" s="54">
        <f t="shared" si="44"/>
        <v>38</v>
      </c>
      <c r="AD644" s="53" t="s">
        <v>35</v>
      </c>
      <c r="AE644" s="53"/>
    </row>
    <row r="645" spans="2:31" s="13" customFormat="1" x14ac:dyDescent="0.25">
      <c r="B645" s="14">
        <v>1</v>
      </c>
      <c r="C645" s="13">
        <v>5001</v>
      </c>
      <c r="D645" s="14" t="s">
        <v>31</v>
      </c>
      <c r="E645" s="14" t="s">
        <v>32</v>
      </c>
      <c r="F645" s="14" t="s">
        <v>34</v>
      </c>
      <c r="G645" s="35" t="s">
        <v>1242</v>
      </c>
      <c r="H645" s="35"/>
      <c r="I645" s="35"/>
      <c r="J645" s="13" t="str">
        <f>(C645)&amp;"-"&amp;(D645)&amp;"-"&amp;(E645)&amp;"-"&amp;(F645)&amp;"-"&amp;(G645)</f>
        <v>5001-PM03-BR-BR1-35-24-125</v>
      </c>
      <c r="K645" s="14">
        <f>LEN(J645)</f>
        <v>26</v>
      </c>
      <c r="L645" s="35" t="s">
        <v>1243</v>
      </c>
      <c r="M645" s="14">
        <f t="shared" si="44"/>
        <v>35</v>
      </c>
      <c r="AD645" s="36" t="s">
        <v>35</v>
      </c>
      <c r="AE645" s="14"/>
    </row>
    <row r="646" spans="2:30" s="15" customFormat="1" x14ac:dyDescent="0.25">
      <c r="B646" s="16">
        <v>2</v>
      </c>
      <c r="H646" s="15" t="s">
        <v>1244</v>
      </c>
      <c r="L646" s="15" t="s">
        <v>1245</v>
      </c>
      <c r="M646" s="16">
        <f t="shared" si="44"/>
        <v>39</v>
      </c>
      <c r="AD646" s="37" t="s">
        <v>35</v>
      </c>
    </row>
    <row r="647" spans="2:31" s="18" customFormat="1" x14ac:dyDescent="0.25">
      <c r="B647" s="19">
        <v>3</v>
      </c>
      <c r="C647" s="53"/>
      <c r="D647" s="53"/>
      <c r="E647" s="53"/>
      <c r="F647" s="53"/>
      <c r="G647" s="53"/>
      <c r="H647" s="53"/>
      <c r="I647" s="53" t="s">
        <v>1246</v>
      </c>
      <c r="J647" s="53"/>
      <c r="K647" s="53"/>
      <c r="L647" s="53" t="s">
        <v>1247</v>
      </c>
      <c r="M647" s="54">
        <f t="shared" si="44"/>
        <v>44</v>
      </c>
      <c r="AD647" s="53" t="s">
        <v>35</v>
      </c>
      <c r="AE647" s="53"/>
    </row>
    <row r="648" spans="2:31" s="18" customFormat="1" x14ac:dyDescent="0.25">
      <c r="B648" s="19">
        <v>3</v>
      </c>
      <c r="C648" s="53"/>
      <c r="D648" s="53"/>
      <c r="E648" s="53"/>
      <c r="F648" s="53"/>
      <c r="G648" s="53"/>
      <c r="H648" s="53"/>
      <c r="I648" s="53" t="s">
        <v>1248</v>
      </c>
      <c r="J648" s="53"/>
      <c r="K648" s="53"/>
      <c r="L648" s="53" t="s">
        <v>1249</v>
      </c>
      <c r="M648" s="54">
        <f t="shared" si="44"/>
        <v>40</v>
      </c>
      <c r="AD648" s="53" t="s">
        <v>35</v>
      </c>
      <c r="AE648" s="53"/>
    </row>
    <row r="649" spans="2:31" s="18" customFormat="1" x14ac:dyDescent="0.25">
      <c r="B649" s="19">
        <v>3</v>
      </c>
      <c r="C649" s="53"/>
      <c r="D649" s="53"/>
      <c r="E649" s="53"/>
      <c r="F649" s="53"/>
      <c r="G649" s="53"/>
      <c r="H649" s="53"/>
      <c r="I649" s="53" t="s">
        <v>1250</v>
      </c>
      <c r="J649" s="53"/>
      <c r="K649" s="53"/>
      <c r="L649" s="53" t="s">
        <v>1251</v>
      </c>
      <c r="M649" s="54">
        <f t="shared" si="44"/>
        <v>38</v>
      </c>
      <c r="AD649" s="53" t="s">
        <v>35</v>
      </c>
      <c r="AE649" s="53"/>
    </row>
    <row r="650" spans="2:31" s="13" customFormat="1" x14ac:dyDescent="0.25">
      <c r="B650" s="14">
        <v>1</v>
      </c>
      <c r="C650" s="13">
        <v>5001</v>
      </c>
      <c r="D650" s="14" t="s">
        <v>31</v>
      </c>
      <c r="E650" s="14" t="s">
        <v>32</v>
      </c>
      <c r="F650" s="14" t="s">
        <v>34</v>
      </c>
      <c r="G650" s="35" t="s">
        <v>1252</v>
      </c>
      <c r="H650" s="35"/>
      <c r="I650" s="35"/>
      <c r="J650" s="13" t="str">
        <f>(C650)&amp;"-"&amp;(D650)&amp;"-"&amp;(E650)&amp;"-"&amp;(F650)&amp;"-"&amp;(G650)</f>
        <v>5001-PM03-BR-BR1-35-24-128</v>
      </c>
      <c r="K650" s="14">
        <f>LEN(J650)</f>
        <v>26</v>
      </c>
      <c r="L650" s="35" t="s">
        <v>1253</v>
      </c>
      <c r="M650" s="14">
        <f t="shared" si="44"/>
        <v>38</v>
      </c>
      <c r="AD650" s="36" t="s">
        <v>35</v>
      </c>
      <c r="AE650" s="14"/>
    </row>
    <row r="651" spans="2:30" s="15" customFormat="1" x14ac:dyDescent="0.25">
      <c r="B651" s="16">
        <v>2</v>
      </c>
      <c r="H651" s="15" t="s">
        <v>1117</v>
      </c>
      <c r="L651" s="15" t="s">
        <v>1254</v>
      </c>
      <c r="M651" s="16">
        <f t="shared" si="44"/>
        <v>45</v>
      </c>
      <c r="AD651" s="37" t="s">
        <v>35</v>
      </c>
    </row>
    <row r="652" spans="2:31" s="18" customFormat="1" x14ac:dyDescent="0.25">
      <c r="B652" s="54">
        <v>3</v>
      </c>
      <c r="C652" s="53"/>
      <c r="D652" s="53"/>
      <c r="E652" s="53"/>
      <c r="F652" s="53"/>
      <c r="G652" s="53"/>
      <c r="H652" s="53"/>
      <c r="I652" s="53" t="s">
        <v>1246</v>
      </c>
      <c r="J652" s="53"/>
      <c r="K652" s="53"/>
      <c r="L652" s="53" t="s">
        <v>1247</v>
      </c>
      <c r="M652" s="54">
        <f t="shared" si="44"/>
        <v>44</v>
      </c>
      <c r="AD652" s="53" t="s">
        <v>35</v>
      </c>
      <c r="AE652" s="53"/>
    </row>
    <row r="653" spans="2:31" s="13" customFormat="1" x14ac:dyDescent="0.25">
      <c r="B653" s="14">
        <v>1</v>
      </c>
      <c r="C653" s="13">
        <v>5001</v>
      </c>
      <c r="D653" s="14" t="s">
        <v>31</v>
      </c>
      <c r="E653" s="14" t="s">
        <v>32</v>
      </c>
      <c r="F653" s="14" t="s">
        <v>34</v>
      </c>
      <c r="G653" s="35" t="s">
        <v>496</v>
      </c>
      <c r="H653" s="35"/>
      <c r="I653" s="35"/>
      <c r="J653" s="13" t="str">
        <f>(C653)&amp;"-"&amp;(D653)&amp;"-"&amp;(E653)&amp;"-"&amp;(F653)&amp;"-"&amp;(G653)</f>
        <v>5001-PM03-BR-BR1-35-24-129</v>
      </c>
      <c r="K653" s="14">
        <f>LEN(J653)</f>
        <v>26</v>
      </c>
      <c r="L653" s="35" t="s">
        <v>1255</v>
      </c>
      <c r="M653" s="14">
        <f t="shared" si="44"/>
        <v>34</v>
      </c>
      <c r="AD653" s="36" t="s">
        <v>35</v>
      </c>
      <c r="AE653" s="14"/>
    </row>
    <row r="654" spans="2:31" s="15" customFormat="1" x14ac:dyDescent="0.25">
      <c r="B654" s="16">
        <v>2</v>
      </c>
      <c r="H654" s="15" t="s">
        <v>1256</v>
      </c>
      <c r="L654" s="15" t="s">
        <v>1257</v>
      </c>
      <c r="M654" s="16">
        <f t="shared" si="44"/>
        <v>38</v>
      </c>
      <c r="AD654" s="37" t="s">
        <v>35</v>
      </c>
      <c r="AE654" s="22"/>
    </row>
    <row r="655" spans="2:31" s="18" customFormat="1" x14ac:dyDescent="0.25">
      <c r="B655" s="19">
        <v>3</v>
      </c>
      <c r="C655" s="53"/>
      <c r="D655" s="53"/>
      <c r="E655" s="53"/>
      <c r="F655" s="53"/>
      <c r="G655" s="53"/>
      <c r="H655" s="53"/>
      <c r="I655" s="53" t="s">
        <v>1258</v>
      </c>
      <c r="J655" s="53"/>
      <c r="K655" s="53"/>
      <c r="L655" s="53" t="s">
        <v>1259</v>
      </c>
      <c r="M655" s="54">
        <f t="shared" si="44"/>
        <v>44</v>
      </c>
      <c r="AD655" s="53" t="s">
        <v>35</v>
      </c>
      <c r="AE655" s="53"/>
    </row>
    <row r="656" spans="2:31" s="18" customFormat="1" x14ac:dyDescent="0.25">
      <c r="B656" s="19">
        <v>3</v>
      </c>
      <c r="C656" s="53"/>
      <c r="D656" s="53"/>
      <c r="E656" s="53"/>
      <c r="F656" s="53"/>
      <c r="G656" s="53"/>
      <c r="H656" s="53"/>
      <c r="I656" s="53" t="s">
        <v>1260</v>
      </c>
      <c r="J656" s="53"/>
      <c r="K656" s="53"/>
      <c r="L656" s="53" t="s">
        <v>1261</v>
      </c>
      <c r="M656" s="54">
        <f t="shared" si="44"/>
        <v>40</v>
      </c>
      <c r="AD656" s="53" t="s">
        <v>35</v>
      </c>
      <c r="AE656" s="53"/>
    </row>
    <row r="657" spans="2:31" s="18" customFormat="1" x14ac:dyDescent="0.25">
      <c r="B657" s="19">
        <v>3</v>
      </c>
      <c r="C657" s="53"/>
      <c r="D657" s="53"/>
      <c r="E657" s="53"/>
      <c r="F657" s="53"/>
      <c r="G657" s="53"/>
      <c r="H657" s="53"/>
      <c r="I657" s="53" t="s">
        <v>1262</v>
      </c>
      <c r="J657" s="53"/>
      <c r="K657" s="53"/>
      <c r="L657" s="53" t="s">
        <v>1263</v>
      </c>
      <c r="M657" s="54">
        <f t="shared" si="44"/>
        <v>38</v>
      </c>
      <c r="AD657" s="53" t="s">
        <v>35</v>
      </c>
      <c r="AE657" s="53"/>
    </row>
    <row r="658" spans="2:31" s="13" customFormat="1" x14ac:dyDescent="0.25">
      <c r="B658" s="14">
        <v>1</v>
      </c>
      <c r="C658" s="13">
        <v>5001</v>
      </c>
      <c r="D658" s="14" t="s">
        <v>31</v>
      </c>
      <c r="E658" s="14" t="s">
        <v>32</v>
      </c>
      <c r="F658" s="14" t="s">
        <v>34</v>
      </c>
      <c r="G658" s="35" t="s">
        <v>1101</v>
      </c>
      <c r="H658" s="35"/>
      <c r="I658" s="35"/>
      <c r="J658" s="13" t="str">
        <f>(C658)&amp;"-"&amp;(D658)&amp;"-"&amp;(E658)&amp;"-"&amp;(F658)&amp;"-"&amp;(G658)</f>
        <v>5001-PM03-BR-BR1-35-24-136</v>
      </c>
      <c r="K658" s="14">
        <f>LEN(J658)</f>
        <v>26</v>
      </c>
      <c r="L658" s="35" t="s">
        <v>1264</v>
      </c>
      <c r="M658" s="14">
        <f t="shared" si="44"/>
        <v>34</v>
      </c>
      <c r="AD658" s="36" t="s">
        <v>35</v>
      </c>
      <c r="AE658" s="14"/>
    </row>
    <row r="659" spans="2:31" s="15" customFormat="1" x14ac:dyDescent="0.25">
      <c r="B659" s="16">
        <v>2</v>
      </c>
      <c r="H659" s="15" t="s">
        <v>1109</v>
      </c>
      <c r="L659" s="15" t="s">
        <v>1265</v>
      </c>
      <c r="M659" s="16">
        <f t="shared" si="44"/>
        <v>38</v>
      </c>
      <c r="AD659" s="37" t="s">
        <v>35</v>
      </c>
      <c r="AE659" s="22"/>
    </row>
    <row r="660" spans="2:31" s="18" customFormat="1" x14ac:dyDescent="0.25">
      <c r="B660" s="19">
        <v>3</v>
      </c>
      <c r="C660" s="53"/>
      <c r="D660" s="53"/>
      <c r="E660" s="53"/>
      <c r="F660" s="53"/>
      <c r="G660" s="53"/>
      <c r="H660" s="53"/>
      <c r="I660" s="53" t="s">
        <v>1266</v>
      </c>
      <c r="J660" s="53"/>
      <c r="K660" s="53"/>
      <c r="L660" s="53" t="s">
        <v>1267</v>
      </c>
      <c r="M660" s="54">
        <f t="shared" si="44"/>
        <v>44</v>
      </c>
      <c r="AD660" s="53" t="s">
        <v>35</v>
      </c>
      <c r="AE660" s="53"/>
    </row>
    <row r="661" spans="2:31" s="18" customFormat="1" x14ac:dyDescent="0.25">
      <c r="B661" s="19">
        <v>3</v>
      </c>
      <c r="C661" s="53"/>
      <c r="D661" s="53"/>
      <c r="E661" s="53"/>
      <c r="F661" s="53"/>
      <c r="G661" s="53"/>
      <c r="H661" s="53"/>
      <c r="I661" s="53" t="s">
        <v>1268</v>
      </c>
      <c r="J661" s="53"/>
      <c r="K661" s="53"/>
      <c r="L661" s="53" t="s">
        <v>1269</v>
      </c>
      <c r="M661" s="54">
        <f t="shared" si="44"/>
        <v>40</v>
      </c>
      <c r="AD661" s="53" t="s">
        <v>35</v>
      </c>
      <c r="AE661" s="53"/>
    </row>
    <row r="662" spans="2:31" s="18" customFormat="1" x14ac:dyDescent="0.25">
      <c r="B662" s="19">
        <v>3</v>
      </c>
      <c r="C662" s="53"/>
      <c r="D662" s="53"/>
      <c r="E662" s="53"/>
      <c r="F662" s="53"/>
      <c r="G662" s="53"/>
      <c r="H662" s="53"/>
      <c r="I662" s="53" t="s">
        <v>1270</v>
      </c>
      <c r="J662" s="53"/>
      <c r="K662" s="53"/>
      <c r="L662" s="53" t="s">
        <v>1271</v>
      </c>
      <c r="M662" s="54">
        <f t="shared" si="44"/>
        <v>38</v>
      </c>
      <c r="AD662" s="53" t="s">
        <v>35</v>
      </c>
      <c r="AE662" s="53"/>
    </row>
    <row r="663" spans="2:31" s="13" customFormat="1" x14ac:dyDescent="0.25">
      <c r="B663" s="14">
        <v>1</v>
      </c>
      <c r="C663" s="13">
        <v>5001</v>
      </c>
      <c r="D663" s="14" t="s">
        <v>31</v>
      </c>
      <c r="E663" s="14" t="s">
        <v>32</v>
      </c>
      <c r="F663" s="14" t="s">
        <v>34</v>
      </c>
      <c r="G663" s="35" t="s">
        <v>1272</v>
      </c>
      <c r="H663" s="35"/>
      <c r="I663" s="35"/>
      <c r="J663" s="13" t="str">
        <f>(C663)&amp;"-"&amp;(D663)&amp;"-"&amp;(E663)&amp;"-"&amp;(F663)&amp;"-"&amp;(G663)</f>
        <v>5001-PM03-BR-BR1-35-24-138</v>
      </c>
      <c r="K663" s="14">
        <f>LEN(J663)</f>
        <v>26</v>
      </c>
      <c r="L663" s="35" t="s">
        <v>1273</v>
      </c>
      <c r="M663" s="14">
        <f t="shared" si="44"/>
        <v>34</v>
      </c>
      <c r="AD663" s="36" t="s">
        <v>35</v>
      </c>
      <c r="AE663" s="14"/>
    </row>
    <row r="664" spans="2:31" s="15" customFormat="1" x14ac:dyDescent="0.25">
      <c r="B664" s="16">
        <v>2</v>
      </c>
      <c r="H664" s="15" t="s">
        <v>261</v>
      </c>
      <c r="L664" s="15" t="s">
        <v>1274</v>
      </c>
      <c r="M664" s="16">
        <f t="shared" si="44"/>
        <v>38</v>
      </c>
      <c r="AD664" s="37" t="s">
        <v>35</v>
      </c>
      <c r="AE664" s="22"/>
    </row>
    <row r="665" spans="2:31" s="18" customFormat="1" x14ac:dyDescent="0.25">
      <c r="B665" s="19">
        <v>3</v>
      </c>
      <c r="C665" s="53"/>
      <c r="D665" s="53"/>
      <c r="E665" s="53"/>
      <c r="F665" s="53"/>
      <c r="G665" s="53"/>
      <c r="H665" s="53"/>
      <c r="I665" s="53" t="s">
        <v>1275</v>
      </c>
      <c r="J665" s="53"/>
      <c r="K665" s="53"/>
      <c r="L665" s="53" t="s">
        <v>1276</v>
      </c>
      <c r="M665" s="54">
        <f t="shared" si="44"/>
        <v>44</v>
      </c>
      <c r="AD665" s="53" t="s">
        <v>35</v>
      </c>
      <c r="AE665" s="53"/>
    </row>
    <row r="666" spans="2:31" s="18" customFormat="1" x14ac:dyDescent="0.25">
      <c r="B666" s="19">
        <v>3</v>
      </c>
      <c r="C666" s="53"/>
      <c r="D666" s="53"/>
      <c r="E666" s="53"/>
      <c r="F666" s="53"/>
      <c r="G666" s="53"/>
      <c r="H666" s="53"/>
      <c r="I666" s="53" t="s">
        <v>1277</v>
      </c>
      <c r="J666" s="53"/>
      <c r="K666" s="53"/>
      <c r="L666" s="53" t="s">
        <v>1278</v>
      </c>
      <c r="M666" s="54">
        <f t="shared" si="44"/>
        <v>40</v>
      </c>
      <c r="AD666" s="53" t="s">
        <v>35</v>
      </c>
      <c r="AE666" s="53"/>
    </row>
    <row r="667" spans="2:31" s="18" customFormat="1" x14ac:dyDescent="0.25">
      <c r="B667" s="19">
        <v>3</v>
      </c>
      <c r="C667" s="53"/>
      <c r="D667" s="53"/>
      <c r="E667" s="53"/>
      <c r="F667" s="53"/>
      <c r="G667" s="53"/>
      <c r="H667" s="53"/>
      <c r="I667" s="53" t="s">
        <v>1279</v>
      </c>
      <c r="J667" s="53"/>
      <c r="K667" s="53"/>
      <c r="L667" s="53" t="s">
        <v>1280</v>
      </c>
      <c r="M667" s="54">
        <f t="shared" si="44"/>
        <v>38</v>
      </c>
      <c r="AD667" s="53" t="s">
        <v>35</v>
      </c>
      <c r="AE667" s="53"/>
    </row>
    <row r="668" spans="2:31" s="13" customFormat="1" x14ac:dyDescent="0.25">
      <c r="B668" s="14">
        <v>1</v>
      </c>
      <c r="C668" s="13">
        <v>5001</v>
      </c>
      <c r="D668" s="14" t="s">
        <v>31</v>
      </c>
      <c r="E668" s="14" t="s">
        <v>32</v>
      </c>
      <c r="F668" s="14" t="s">
        <v>34</v>
      </c>
      <c r="G668" s="35" t="s">
        <v>1281</v>
      </c>
      <c r="H668" s="35"/>
      <c r="I668" s="35"/>
      <c r="J668" s="13" t="str">
        <f>(C668)&amp;"-"&amp;(D668)&amp;"-"&amp;(E668)&amp;"-"&amp;(F668)&amp;"-"&amp;(G668)</f>
        <v>5001-PM03-BR-BR1-35-24-153</v>
      </c>
      <c r="K668" s="14">
        <f>LEN(J668)</f>
        <v>26</v>
      </c>
      <c r="L668" s="35" t="s">
        <v>1282</v>
      </c>
      <c r="M668" s="14">
        <f t="shared" si="44"/>
        <v>34</v>
      </c>
      <c r="AD668" s="36" t="s">
        <v>35</v>
      </c>
      <c r="AE668" s="14"/>
    </row>
    <row r="669" spans="2:31" s="15" customFormat="1" x14ac:dyDescent="0.25">
      <c r="B669" s="16">
        <v>2</v>
      </c>
      <c r="H669" s="15" t="s">
        <v>1283</v>
      </c>
      <c r="L669" s="15" t="s">
        <v>1284</v>
      </c>
      <c r="M669" s="16">
        <f t="shared" si="44"/>
        <v>39</v>
      </c>
      <c r="AD669" s="37" t="s">
        <v>35</v>
      </c>
      <c r="AE669" s="22"/>
    </row>
    <row r="670" spans="2:31" s="18" customFormat="1" x14ac:dyDescent="0.25">
      <c r="B670" s="19">
        <v>3</v>
      </c>
      <c r="C670" s="53"/>
      <c r="D670" s="53"/>
      <c r="E670" s="53"/>
      <c r="F670" s="53"/>
      <c r="G670" s="53"/>
      <c r="H670" s="53"/>
      <c r="I670" s="53" t="s">
        <v>1285</v>
      </c>
      <c r="J670" s="53"/>
      <c r="K670" s="53"/>
      <c r="L670" s="53" t="s">
        <v>1286</v>
      </c>
      <c r="M670" s="54">
        <f t="shared" si="44"/>
        <v>44</v>
      </c>
      <c r="AD670" s="53" t="s">
        <v>35</v>
      </c>
      <c r="AE670" s="53"/>
    </row>
    <row r="671" spans="2:31" s="18" customFormat="1" x14ac:dyDescent="0.25">
      <c r="B671" s="19">
        <v>3</v>
      </c>
      <c r="C671" s="53"/>
      <c r="D671" s="53"/>
      <c r="E671" s="53"/>
      <c r="F671" s="53"/>
      <c r="G671" s="53"/>
      <c r="H671" s="53"/>
      <c r="I671" s="53" t="s">
        <v>1287</v>
      </c>
      <c r="J671" s="53"/>
      <c r="K671" s="53"/>
      <c r="L671" s="53" t="s">
        <v>1288</v>
      </c>
      <c r="M671" s="54">
        <f t="shared" si="44"/>
        <v>40</v>
      </c>
      <c r="AD671" s="53" t="s">
        <v>35</v>
      </c>
      <c r="AE671" s="53"/>
    </row>
    <row r="672" spans="2:31" s="18" customFormat="1" x14ac:dyDescent="0.25">
      <c r="B672" s="19">
        <v>3</v>
      </c>
      <c r="C672" s="53"/>
      <c r="D672" s="53"/>
      <c r="E672" s="53"/>
      <c r="F672" s="53"/>
      <c r="G672" s="53"/>
      <c r="H672" s="53"/>
      <c r="I672" s="53" t="s">
        <v>1289</v>
      </c>
      <c r="J672" s="53"/>
      <c r="K672" s="53"/>
      <c r="L672" s="53" t="s">
        <v>1290</v>
      </c>
      <c r="M672" s="54">
        <f t="shared" si="44"/>
        <v>38</v>
      </c>
      <c r="AD672" s="53" t="s">
        <v>35</v>
      </c>
      <c r="AE672" s="53"/>
    </row>
    <row r="673" spans="2:31" s="13" customFormat="1" x14ac:dyDescent="0.25">
      <c r="B673" s="14">
        <v>1</v>
      </c>
      <c r="C673" s="13">
        <v>5001</v>
      </c>
      <c r="D673" s="14" t="s">
        <v>31</v>
      </c>
      <c r="E673" s="14" t="s">
        <v>32</v>
      </c>
      <c r="F673" s="14" t="s">
        <v>34</v>
      </c>
      <c r="G673" s="35" t="s">
        <v>1073</v>
      </c>
      <c r="H673" s="35"/>
      <c r="I673" s="35"/>
      <c r="J673" s="13" t="str">
        <f>(C673)&amp;"-"&amp;(D673)&amp;"-"&amp;(E673)&amp;"-"&amp;(F673)&amp;"-"&amp;(G673)</f>
        <v>5001-PM03-BR-BR1-35-24-157</v>
      </c>
      <c r="K673" s="14">
        <f>LEN(J673)</f>
        <v>26</v>
      </c>
      <c r="L673" s="35" t="s">
        <v>1291</v>
      </c>
      <c r="M673" s="14">
        <f t="shared" si="44"/>
        <v>34</v>
      </c>
      <c r="AD673" s="36" t="s">
        <v>35</v>
      </c>
      <c r="AE673" s="14"/>
    </row>
    <row r="674" spans="2:31" s="15" customFormat="1" x14ac:dyDescent="0.25">
      <c r="B674" s="16">
        <v>2</v>
      </c>
      <c r="H674" s="15" t="s">
        <v>1292</v>
      </c>
      <c r="L674" s="15" t="s">
        <v>1293</v>
      </c>
      <c r="M674" s="16">
        <f t="shared" si="44"/>
        <v>38</v>
      </c>
      <c r="AD674" s="37" t="s">
        <v>35</v>
      </c>
      <c r="AE674" s="22"/>
    </row>
    <row r="675" spans="2:31" s="18" customFormat="1" x14ac:dyDescent="0.25">
      <c r="B675" s="19">
        <v>3</v>
      </c>
      <c r="C675" s="53"/>
      <c r="D675" s="53"/>
      <c r="E675" s="53"/>
      <c r="F675" s="53"/>
      <c r="G675" s="53"/>
      <c r="H675" s="53"/>
      <c r="I675" s="53" t="s">
        <v>1294</v>
      </c>
      <c r="J675" s="53"/>
      <c r="K675" s="53"/>
      <c r="L675" s="53" t="s">
        <v>1295</v>
      </c>
      <c r="M675" s="54">
        <f t="shared" si="44"/>
        <v>44</v>
      </c>
      <c r="AD675" s="53" t="s">
        <v>35</v>
      </c>
      <c r="AE675" s="53"/>
    </row>
    <row r="676" spans="2:31" s="18" customFormat="1" x14ac:dyDescent="0.25">
      <c r="B676" s="19">
        <v>3</v>
      </c>
      <c r="C676" s="53"/>
      <c r="D676" s="53"/>
      <c r="E676" s="53"/>
      <c r="F676" s="53"/>
      <c r="G676" s="53"/>
      <c r="H676" s="53"/>
      <c r="I676" s="53" t="s">
        <v>1296</v>
      </c>
      <c r="J676" s="53"/>
      <c r="K676" s="53"/>
      <c r="L676" s="53" t="s">
        <v>1297</v>
      </c>
      <c r="M676" s="54">
        <f t="shared" si="44"/>
        <v>40</v>
      </c>
      <c r="AD676" s="53" t="s">
        <v>35</v>
      </c>
      <c r="AE676" s="53"/>
    </row>
    <row r="677" spans="2:31" s="18" customFormat="1" x14ac:dyDescent="0.25">
      <c r="B677" s="19">
        <v>3</v>
      </c>
      <c r="C677" s="53"/>
      <c r="D677" s="53"/>
      <c r="E677" s="53"/>
      <c r="F677" s="53"/>
      <c r="G677" s="53"/>
      <c r="H677" s="53"/>
      <c r="I677" s="53" t="s">
        <v>1298</v>
      </c>
      <c r="J677" s="53"/>
      <c r="K677" s="53"/>
      <c r="L677" s="53" t="s">
        <v>1299</v>
      </c>
      <c r="M677" s="54">
        <f t="shared" si="44"/>
        <v>38</v>
      </c>
      <c r="AD677" s="53" t="s">
        <v>35</v>
      </c>
      <c r="AE677" s="53"/>
    </row>
    <row r="678" spans="2:31" s="13" customFormat="1" x14ac:dyDescent="0.25">
      <c r="B678" s="14">
        <v>1</v>
      </c>
      <c r="C678" s="13">
        <v>5001</v>
      </c>
      <c r="D678" s="14" t="s">
        <v>31</v>
      </c>
      <c r="E678" s="14" t="s">
        <v>32</v>
      </c>
      <c r="F678" s="14" t="s">
        <v>34</v>
      </c>
      <c r="G678" s="35" t="s">
        <v>235</v>
      </c>
      <c r="H678" s="35"/>
      <c r="I678" s="35"/>
      <c r="J678" s="13" t="str">
        <f>(C678)&amp;"-"&amp;(D678)&amp;"-"&amp;(E678)&amp;"-"&amp;(F678)&amp;"-"&amp;(G678)</f>
        <v>5001-PM03-BR-BR1-35-24-160</v>
      </c>
      <c r="K678" s="14">
        <f>LEN(J678)</f>
        <v>26</v>
      </c>
      <c r="L678" s="35" t="s">
        <v>1300</v>
      </c>
      <c r="M678" s="14">
        <f t="shared" si="44"/>
        <v>35</v>
      </c>
      <c r="AD678" s="36" t="s">
        <v>35</v>
      </c>
      <c r="AE678" s="14"/>
    </row>
    <row r="679" spans="2:31" s="15" customFormat="1" x14ac:dyDescent="0.25">
      <c r="B679" s="16">
        <v>2</v>
      </c>
      <c r="H679" s="15" t="s">
        <v>1301</v>
      </c>
      <c r="L679" s="15" t="s">
        <v>1302</v>
      </c>
      <c r="M679" s="16">
        <f t="shared" si="44"/>
        <v>38</v>
      </c>
      <c r="AD679" s="37" t="s">
        <v>35</v>
      </c>
      <c r="AE679" s="22"/>
    </row>
    <row r="680" spans="2:31" s="18" customFormat="1" x14ac:dyDescent="0.25">
      <c r="B680" s="19">
        <v>3</v>
      </c>
      <c r="C680" s="53"/>
      <c r="D680" s="53"/>
      <c r="E680" s="53"/>
      <c r="F680" s="53"/>
      <c r="G680" s="53"/>
      <c r="H680" s="53"/>
      <c r="I680" s="53" t="s">
        <v>1303</v>
      </c>
      <c r="J680" s="53"/>
      <c r="K680" s="53"/>
      <c r="L680" s="53" t="s">
        <v>1304</v>
      </c>
      <c r="M680" s="54">
        <f t="shared" si="44"/>
        <v>44</v>
      </c>
      <c r="AD680" s="53" t="s">
        <v>35</v>
      </c>
      <c r="AE680" s="53"/>
    </row>
    <row r="681" spans="2:31" s="18" customFormat="1" x14ac:dyDescent="0.25">
      <c r="B681" s="19">
        <v>3</v>
      </c>
      <c r="C681" s="53"/>
      <c r="D681" s="53"/>
      <c r="E681" s="53"/>
      <c r="F681" s="53"/>
      <c r="G681" s="53"/>
      <c r="H681" s="53"/>
      <c r="I681" s="53" t="s">
        <v>1305</v>
      </c>
      <c r="J681" s="53"/>
      <c r="K681" s="53"/>
      <c r="L681" s="53" t="s">
        <v>1306</v>
      </c>
      <c r="M681" s="54">
        <f t="shared" si="44"/>
        <v>40</v>
      </c>
      <c r="AD681" s="53" t="s">
        <v>35</v>
      </c>
      <c r="AE681" s="53"/>
    </row>
    <row r="682" spans="2:31" s="18" customFormat="1" x14ac:dyDescent="0.25">
      <c r="B682" s="19">
        <v>3</v>
      </c>
      <c r="C682" s="53"/>
      <c r="D682" s="53"/>
      <c r="E682" s="53"/>
      <c r="F682" s="53"/>
      <c r="G682" s="53"/>
      <c r="H682" s="53"/>
      <c r="I682" s="53" t="s">
        <v>1307</v>
      </c>
      <c r="J682" s="53"/>
      <c r="K682" s="53"/>
      <c r="L682" s="53" t="s">
        <v>1308</v>
      </c>
      <c r="M682" s="54">
        <f t="shared" si="44"/>
        <v>38</v>
      </c>
      <c r="AD682" s="53" t="s">
        <v>35</v>
      </c>
      <c r="AE682" s="53"/>
    </row>
    <row r="683" spans="2:31" s="13" customFormat="1" x14ac:dyDescent="0.25">
      <c r="B683" s="14">
        <v>1</v>
      </c>
      <c r="C683" s="13">
        <v>5001</v>
      </c>
      <c r="D683" s="14" t="s">
        <v>31</v>
      </c>
      <c r="E683" s="14" t="s">
        <v>32</v>
      </c>
      <c r="F683" s="14" t="s">
        <v>34</v>
      </c>
      <c r="G683" s="35" t="s">
        <v>1056</v>
      </c>
      <c r="H683" s="35"/>
      <c r="I683" s="35"/>
      <c r="J683" s="13" t="str">
        <f>(C683)&amp;"-"&amp;(D683)&amp;"-"&amp;(E683)&amp;"-"&amp;(F683)&amp;"-"&amp;(G683)</f>
        <v>5001-PM03-BR-BR1-35-24-163</v>
      </c>
      <c r="K683" s="14">
        <f>LEN(J683)</f>
        <v>26</v>
      </c>
      <c r="L683" s="35" t="s">
        <v>1309</v>
      </c>
      <c r="M683" s="14">
        <f t="shared" si="44"/>
        <v>45</v>
      </c>
      <c r="AD683" s="36" t="s">
        <v>35</v>
      </c>
      <c r="AE683" s="14"/>
    </row>
    <row r="684" spans="2:31" s="15" customFormat="1" x14ac:dyDescent="0.25">
      <c r="B684" s="16">
        <v>2</v>
      </c>
      <c r="H684" s="15" t="s">
        <v>1310</v>
      </c>
      <c r="L684" s="15" t="s">
        <v>1311</v>
      </c>
      <c r="M684" s="16">
        <f t="shared" si="44"/>
        <v>38</v>
      </c>
      <c r="AD684" s="37" t="s">
        <v>35</v>
      </c>
      <c r="AE684" s="22"/>
    </row>
    <row r="685" spans="2:31" s="18" customFormat="1" x14ac:dyDescent="0.25">
      <c r="B685" s="54">
        <v>3</v>
      </c>
      <c r="C685" s="53"/>
      <c r="D685" s="53"/>
      <c r="E685" s="53"/>
      <c r="F685" s="53"/>
      <c r="G685" s="53"/>
      <c r="H685" s="53"/>
      <c r="I685" s="53" t="s">
        <v>1312</v>
      </c>
      <c r="J685" s="53"/>
      <c r="K685" s="53"/>
      <c r="L685" s="53" t="s">
        <v>1313</v>
      </c>
      <c r="M685" s="54">
        <f t="shared" si="44"/>
        <v>43</v>
      </c>
      <c r="AD685" s="53" t="s">
        <v>35</v>
      </c>
      <c r="AE685" s="53"/>
    </row>
    <row r="686" spans="2:31" s="15" customFormat="1" x14ac:dyDescent="0.25">
      <c r="B686" s="55">
        <v>2</v>
      </c>
      <c r="C686" s="56"/>
      <c r="D686" s="56"/>
      <c r="E686" s="56"/>
      <c r="F686" s="56"/>
      <c r="G686" s="56"/>
      <c r="H686" s="56" t="s">
        <v>184</v>
      </c>
      <c r="I686" s="56"/>
      <c r="J686" s="56"/>
      <c r="K686" s="56"/>
      <c r="L686" s="56" t="s">
        <v>1314</v>
      </c>
      <c r="M686" s="55">
        <f t="shared" si="44"/>
        <v>31</v>
      </c>
      <c r="AD686" s="56" t="s">
        <v>35</v>
      </c>
      <c r="AE686" s="22"/>
    </row>
    <row r="687" spans="2:31" s="15" customFormat="1" x14ac:dyDescent="0.25">
      <c r="B687" s="55">
        <v>2</v>
      </c>
      <c r="C687" s="56"/>
      <c r="D687" s="56"/>
      <c r="E687" s="56"/>
      <c r="F687" s="56"/>
      <c r="G687" s="56"/>
      <c r="H687" s="56" t="s">
        <v>1315</v>
      </c>
      <c r="I687" s="56"/>
      <c r="J687" s="56"/>
      <c r="K687" s="56"/>
      <c r="L687" s="56" t="s">
        <v>1316</v>
      </c>
      <c r="M687" s="55"/>
      <c r="AD687" s="56"/>
      <c r="AE687" s="22"/>
    </row>
    <row r="688" spans="2:31" s="15" customFormat="1" x14ac:dyDescent="0.25">
      <c r="B688" s="55">
        <v>2</v>
      </c>
      <c r="C688" s="56"/>
      <c r="D688" s="56"/>
      <c r="E688" s="56"/>
      <c r="F688" s="56"/>
      <c r="G688" s="56"/>
      <c r="H688" s="56" t="s">
        <v>1317</v>
      </c>
      <c r="I688" s="56"/>
      <c r="J688" s="56"/>
      <c r="K688" s="56"/>
      <c r="L688" s="56" t="s">
        <v>1318</v>
      </c>
      <c r="M688" s="55">
        <f t="shared" ref="M688:M723" si="45">LEN(L688)</f>
        <v>44</v>
      </c>
      <c r="AD688" s="56" t="s">
        <v>35</v>
      </c>
      <c r="AE688" s="22"/>
    </row>
    <row r="689" spans="2:31" s="13" customFormat="1" x14ac:dyDescent="0.25">
      <c r="B689" s="14">
        <v>1</v>
      </c>
      <c r="C689" s="13">
        <v>5001</v>
      </c>
      <c r="D689" s="14" t="s">
        <v>31</v>
      </c>
      <c r="E689" s="14" t="s">
        <v>32</v>
      </c>
      <c r="F689" s="14" t="s">
        <v>34</v>
      </c>
      <c r="G689" s="35" t="s">
        <v>1319</v>
      </c>
      <c r="H689" s="35"/>
      <c r="I689" s="35"/>
      <c r="J689" s="13" t="str">
        <f>(C689)&amp;"-"&amp;(D689)&amp;"-"&amp;(E689)&amp;"-"&amp;(F689)&amp;"-"&amp;(G689)</f>
        <v>5001-PM03-BR-BR1-35-24-167</v>
      </c>
      <c r="K689" s="14">
        <f>LEN(J689)</f>
        <v>26</v>
      </c>
      <c r="L689" s="35" t="s">
        <v>1320</v>
      </c>
      <c r="M689" s="14">
        <f t="shared" si="45"/>
        <v>35</v>
      </c>
      <c r="AD689" s="36" t="s">
        <v>35</v>
      </c>
      <c r="AE689" s="14"/>
    </row>
    <row r="690" spans="2:31" s="15" customFormat="1" x14ac:dyDescent="0.25">
      <c r="B690" s="16">
        <v>2</v>
      </c>
      <c r="H690" s="15" t="s">
        <v>1321</v>
      </c>
      <c r="L690" s="15" t="s">
        <v>1322</v>
      </c>
      <c r="M690" s="16">
        <f t="shared" si="45"/>
        <v>38</v>
      </c>
      <c r="AD690" s="37" t="s">
        <v>35</v>
      </c>
      <c r="AE690" s="22"/>
    </row>
    <row r="691" spans="2:31" s="18" customFormat="1" x14ac:dyDescent="0.25">
      <c r="B691" s="54">
        <v>3</v>
      </c>
      <c r="C691" s="53"/>
      <c r="D691" s="53"/>
      <c r="E691" s="53"/>
      <c r="F691" s="53"/>
      <c r="G691" s="53"/>
      <c r="H691" s="53"/>
      <c r="I691" s="53" t="s">
        <v>1323</v>
      </c>
      <c r="J691" s="53"/>
      <c r="K691" s="53"/>
      <c r="L691" s="53" t="s">
        <v>1324</v>
      </c>
      <c r="M691" s="54">
        <f t="shared" si="45"/>
        <v>44</v>
      </c>
      <c r="AD691" s="53" t="s">
        <v>35</v>
      </c>
      <c r="AE691" s="53"/>
    </row>
    <row r="692" spans="2:31" s="18" customFormat="1" x14ac:dyDescent="0.25">
      <c r="B692" s="54">
        <v>3</v>
      </c>
      <c r="C692" s="53"/>
      <c r="D692" s="53"/>
      <c r="E692" s="53"/>
      <c r="F692" s="53"/>
      <c r="G692" s="53"/>
      <c r="H692" s="53"/>
      <c r="I692" s="53" t="s">
        <v>1325</v>
      </c>
      <c r="J692" s="53"/>
      <c r="K692" s="53"/>
      <c r="L692" s="53" t="s">
        <v>1326</v>
      </c>
      <c r="M692" s="54">
        <f t="shared" si="45"/>
        <v>40</v>
      </c>
      <c r="AD692" s="53" t="s">
        <v>35</v>
      </c>
      <c r="AE692" s="53"/>
    </row>
    <row r="693" spans="2:31" s="18" customFormat="1" x14ac:dyDescent="0.25">
      <c r="B693" s="54">
        <v>3</v>
      </c>
      <c r="C693" s="53"/>
      <c r="D693" s="53"/>
      <c r="E693" s="53"/>
      <c r="F693" s="53"/>
      <c r="G693" s="53"/>
      <c r="H693" s="53"/>
      <c r="I693" s="53" t="s">
        <v>1327</v>
      </c>
      <c r="J693" s="53"/>
      <c r="K693" s="53"/>
      <c r="L693" s="53" t="s">
        <v>1328</v>
      </c>
      <c r="M693" s="54">
        <f t="shared" si="45"/>
        <v>38</v>
      </c>
      <c r="AD693" s="53" t="s">
        <v>35</v>
      </c>
      <c r="AE693" s="53"/>
    </row>
    <row r="694" spans="2:31" s="13" customFormat="1" x14ac:dyDescent="0.25">
      <c r="B694" s="14">
        <v>1</v>
      </c>
      <c r="C694" s="13">
        <v>5001</v>
      </c>
      <c r="D694" s="14" t="s">
        <v>31</v>
      </c>
      <c r="E694" s="14" t="s">
        <v>32</v>
      </c>
      <c r="F694" s="14" t="s">
        <v>34</v>
      </c>
      <c r="G694" s="35" t="s">
        <v>1329</v>
      </c>
      <c r="H694" s="35"/>
      <c r="I694" s="35"/>
      <c r="J694" s="13" t="str">
        <f>(C694)&amp;"-"&amp;(D694)&amp;"-"&amp;(E694)&amp;"-"&amp;(F694)&amp;"-"&amp;(G694)</f>
        <v>5001-PM03-BR-BR1-35-24-171</v>
      </c>
      <c r="K694" s="14">
        <f>LEN(J694)</f>
        <v>26</v>
      </c>
      <c r="L694" s="35" t="s">
        <v>1330</v>
      </c>
      <c r="M694" s="14">
        <f t="shared" si="45"/>
        <v>34</v>
      </c>
      <c r="AD694" s="36" t="s">
        <v>35</v>
      </c>
      <c r="AE694" s="14"/>
    </row>
    <row r="695" spans="2:31" s="15" customFormat="1" x14ac:dyDescent="0.25">
      <c r="B695" s="16">
        <v>2</v>
      </c>
      <c r="H695" s="15" t="s">
        <v>1045</v>
      </c>
      <c r="L695" s="15" t="s">
        <v>1331</v>
      </c>
      <c r="M695" s="16">
        <f t="shared" si="45"/>
        <v>38</v>
      </c>
      <c r="AD695" s="37" t="s">
        <v>35</v>
      </c>
      <c r="AE695" s="22"/>
    </row>
    <row r="696" spans="2:31" s="18" customFormat="1" x14ac:dyDescent="0.25">
      <c r="B696" s="54">
        <v>3</v>
      </c>
      <c r="C696" s="53"/>
      <c r="D696" s="53"/>
      <c r="E696" s="53"/>
      <c r="F696" s="53"/>
      <c r="G696" s="53"/>
      <c r="H696" s="53"/>
      <c r="I696" s="53" t="s">
        <v>1332</v>
      </c>
      <c r="J696" s="53"/>
      <c r="K696" s="53"/>
      <c r="L696" s="53" t="s">
        <v>1333</v>
      </c>
      <c r="M696" s="54">
        <f t="shared" si="45"/>
        <v>44</v>
      </c>
      <c r="AD696" s="53" t="s">
        <v>35</v>
      </c>
      <c r="AE696" s="53"/>
    </row>
    <row r="697" spans="2:31" s="18" customFormat="1" x14ac:dyDescent="0.25">
      <c r="B697" s="54">
        <v>3</v>
      </c>
      <c r="C697" s="53"/>
      <c r="D697" s="53"/>
      <c r="E697" s="53"/>
      <c r="F697" s="53"/>
      <c r="G697" s="53"/>
      <c r="H697" s="53"/>
      <c r="I697" s="53" t="s">
        <v>1334</v>
      </c>
      <c r="J697" s="53"/>
      <c r="K697" s="53"/>
      <c r="L697" s="53" t="s">
        <v>1335</v>
      </c>
      <c r="M697" s="54">
        <f t="shared" si="45"/>
        <v>40</v>
      </c>
      <c r="AD697" s="53" t="s">
        <v>35</v>
      </c>
      <c r="AE697" s="53"/>
    </row>
    <row r="698" spans="2:31" s="18" customFormat="1" x14ac:dyDescent="0.25">
      <c r="B698" s="54">
        <v>3</v>
      </c>
      <c r="C698" s="53"/>
      <c r="D698" s="53"/>
      <c r="E698" s="53"/>
      <c r="F698" s="53"/>
      <c r="G698" s="53"/>
      <c r="H698" s="53"/>
      <c r="I698" s="53" t="s">
        <v>1336</v>
      </c>
      <c r="J698" s="53"/>
      <c r="K698" s="53"/>
      <c r="L698" s="53" t="s">
        <v>1337</v>
      </c>
      <c r="M698" s="54">
        <f t="shared" si="45"/>
        <v>38</v>
      </c>
      <c r="AD698" s="53" t="s">
        <v>35</v>
      </c>
      <c r="AE698" s="53"/>
    </row>
    <row r="699" spans="2:31" s="13" customFormat="1" x14ac:dyDescent="0.25">
      <c r="B699" s="14">
        <v>1</v>
      </c>
      <c r="C699" s="13">
        <v>5001</v>
      </c>
      <c r="D699" s="14" t="s">
        <v>31</v>
      </c>
      <c r="E699" s="14" t="s">
        <v>32</v>
      </c>
      <c r="F699" s="14" t="s">
        <v>34</v>
      </c>
      <c r="G699" s="35" t="s">
        <v>1047</v>
      </c>
      <c r="H699" s="35"/>
      <c r="I699" s="35"/>
      <c r="J699" s="13" t="str">
        <f>(C699)&amp;"-"&amp;(D699)&amp;"-"&amp;(E699)&amp;"-"&amp;(F699)&amp;"-"&amp;(G699)</f>
        <v>5001-PM03-BR-BR1-35-24-175</v>
      </c>
      <c r="K699" s="14">
        <f>LEN(J699)</f>
        <v>26</v>
      </c>
      <c r="L699" s="35" t="s">
        <v>1338</v>
      </c>
      <c r="M699" s="14">
        <f t="shared" si="45"/>
        <v>34</v>
      </c>
      <c r="AD699" s="36" t="s">
        <v>35</v>
      </c>
      <c r="AE699" s="14"/>
    </row>
    <row r="700" spans="2:31" s="15" customFormat="1" x14ac:dyDescent="0.25">
      <c r="B700" s="16">
        <v>2</v>
      </c>
      <c r="H700" s="15" t="s">
        <v>152</v>
      </c>
      <c r="L700" s="15" t="s">
        <v>1339</v>
      </c>
      <c r="M700" s="16">
        <f t="shared" si="45"/>
        <v>38</v>
      </c>
      <c r="AD700" s="37" t="s">
        <v>35</v>
      </c>
      <c r="AE700" s="22"/>
    </row>
    <row r="701" spans="2:31" s="18" customFormat="1" x14ac:dyDescent="0.25">
      <c r="B701" s="54">
        <v>3</v>
      </c>
      <c r="C701" s="53"/>
      <c r="D701" s="53"/>
      <c r="E701" s="53"/>
      <c r="F701" s="53"/>
      <c r="G701" s="53"/>
      <c r="H701" s="53"/>
      <c r="I701" s="53" t="s">
        <v>1340</v>
      </c>
      <c r="J701" s="53"/>
      <c r="K701" s="53"/>
      <c r="L701" s="53" t="s">
        <v>1341</v>
      </c>
      <c r="M701" s="54">
        <f t="shared" si="45"/>
        <v>44</v>
      </c>
      <c r="AD701" s="53" t="s">
        <v>35</v>
      </c>
      <c r="AE701" s="53"/>
    </row>
    <row r="702" spans="2:31" s="18" customFormat="1" x14ac:dyDescent="0.25">
      <c r="B702" s="54">
        <v>3</v>
      </c>
      <c r="C702" s="53"/>
      <c r="D702" s="53"/>
      <c r="E702" s="53"/>
      <c r="F702" s="53"/>
      <c r="G702" s="53"/>
      <c r="H702" s="53"/>
      <c r="I702" s="53" t="s">
        <v>1342</v>
      </c>
      <c r="J702" s="53"/>
      <c r="K702" s="53"/>
      <c r="L702" s="53" t="s">
        <v>1343</v>
      </c>
      <c r="M702" s="54">
        <f t="shared" si="45"/>
        <v>40</v>
      </c>
      <c r="AD702" s="53" t="s">
        <v>35</v>
      </c>
      <c r="AE702" s="53"/>
    </row>
    <row r="703" spans="2:31" s="18" customFormat="1" x14ac:dyDescent="0.25">
      <c r="B703" s="54">
        <v>3</v>
      </c>
      <c r="C703" s="53"/>
      <c r="D703" s="53"/>
      <c r="E703" s="53"/>
      <c r="F703" s="53"/>
      <c r="G703" s="53"/>
      <c r="H703" s="53"/>
      <c r="I703" s="53" t="s">
        <v>1344</v>
      </c>
      <c r="J703" s="53"/>
      <c r="K703" s="53"/>
      <c r="L703" s="53" t="s">
        <v>1345</v>
      </c>
      <c r="M703" s="54">
        <f t="shared" si="45"/>
        <v>38</v>
      </c>
      <c r="AD703" s="53" t="s">
        <v>35</v>
      </c>
      <c r="AE703" s="53"/>
    </row>
    <row r="704" spans="2:31" s="13" customFormat="1" x14ac:dyDescent="0.25">
      <c r="B704" s="14">
        <v>1</v>
      </c>
      <c r="C704" s="13">
        <v>5001</v>
      </c>
      <c r="D704" s="14" t="s">
        <v>31</v>
      </c>
      <c r="E704" s="14" t="s">
        <v>32</v>
      </c>
      <c r="F704" s="14" t="s">
        <v>34</v>
      </c>
      <c r="G704" s="35" t="s">
        <v>1346</v>
      </c>
      <c r="H704" s="35"/>
      <c r="I704" s="35"/>
      <c r="J704" s="13" t="str">
        <f>(C704)&amp;"-"&amp;(D704)&amp;"-"&amp;(E704)&amp;"-"&amp;(F704)&amp;"-"&amp;(G704)</f>
        <v>5001-PM03-BR-BR1-35-24-224</v>
      </c>
      <c r="K704" s="14">
        <f>LEN(J704)</f>
        <v>26</v>
      </c>
      <c r="L704" s="35" t="s">
        <v>1347</v>
      </c>
      <c r="M704" s="14">
        <f t="shared" si="45"/>
        <v>34</v>
      </c>
      <c r="AD704" s="36" t="s">
        <v>35</v>
      </c>
      <c r="AE704" s="14"/>
    </row>
    <row r="705" spans="2:31" s="15" customFormat="1" x14ac:dyDescent="0.25">
      <c r="B705" s="16">
        <v>2</v>
      </c>
      <c r="H705" s="15" t="s">
        <v>1346</v>
      </c>
      <c r="L705" s="15" t="s">
        <v>1348</v>
      </c>
      <c r="M705" s="16">
        <f t="shared" si="45"/>
        <v>38</v>
      </c>
      <c r="AD705" s="37" t="s">
        <v>35</v>
      </c>
      <c r="AE705" s="22"/>
    </row>
    <row r="706" spans="2:31" s="18" customFormat="1" x14ac:dyDescent="0.25">
      <c r="B706" s="54">
        <v>3</v>
      </c>
      <c r="C706" s="53"/>
      <c r="D706" s="53"/>
      <c r="E706" s="53"/>
      <c r="F706" s="53"/>
      <c r="G706" s="53"/>
      <c r="H706" s="53"/>
      <c r="I706" s="53" t="s">
        <v>1349</v>
      </c>
      <c r="J706" s="53"/>
      <c r="K706" s="53"/>
      <c r="L706" s="53" t="s">
        <v>1350</v>
      </c>
      <c r="M706" s="54">
        <f t="shared" si="45"/>
        <v>44</v>
      </c>
      <c r="AD706" s="53" t="s">
        <v>35</v>
      </c>
      <c r="AE706" s="53"/>
    </row>
    <row r="707" spans="2:31" s="18" customFormat="1" x14ac:dyDescent="0.25">
      <c r="B707" s="54">
        <v>3</v>
      </c>
      <c r="C707" s="53"/>
      <c r="D707" s="53"/>
      <c r="E707" s="53"/>
      <c r="F707" s="53"/>
      <c r="G707" s="53"/>
      <c r="H707" s="53"/>
      <c r="I707" s="53" t="s">
        <v>1351</v>
      </c>
      <c r="J707" s="53"/>
      <c r="K707" s="53"/>
      <c r="L707" s="53" t="s">
        <v>1352</v>
      </c>
      <c r="M707" s="54">
        <f t="shared" si="45"/>
        <v>40</v>
      </c>
      <c r="AD707" s="53" t="s">
        <v>35</v>
      </c>
      <c r="AE707" s="53"/>
    </row>
    <row r="708" spans="2:31" s="18" customFormat="1" x14ac:dyDescent="0.25">
      <c r="B708" s="54">
        <v>3</v>
      </c>
      <c r="C708" s="53"/>
      <c r="D708" s="53"/>
      <c r="E708" s="53"/>
      <c r="F708" s="53"/>
      <c r="G708" s="53"/>
      <c r="H708" s="53"/>
      <c r="I708" s="53" t="s">
        <v>1353</v>
      </c>
      <c r="J708" s="53"/>
      <c r="K708" s="53"/>
      <c r="L708" s="53" t="s">
        <v>1354</v>
      </c>
      <c r="M708" s="54">
        <f t="shared" si="45"/>
        <v>38</v>
      </c>
      <c r="AD708" s="53" t="s">
        <v>35</v>
      </c>
      <c r="AE708" s="53"/>
    </row>
    <row r="709" spans="2:31" s="13" customFormat="1" x14ac:dyDescent="0.25">
      <c r="B709" s="14">
        <v>1</v>
      </c>
      <c r="C709" s="13">
        <v>5001</v>
      </c>
      <c r="D709" s="14" t="s">
        <v>31</v>
      </c>
      <c r="E709" s="14" t="s">
        <v>32</v>
      </c>
      <c r="F709" s="14" t="s">
        <v>34</v>
      </c>
      <c r="G709" s="35" t="s">
        <v>1355</v>
      </c>
      <c r="H709" s="35"/>
      <c r="I709" s="35"/>
      <c r="J709" s="13" t="str">
        <f>(C709)&amp;"-"&amp;(D709)&amp;"-"&amp;(E709)&amp;"-"&amp;(F709)&amp;"-"&amp;(G709)</f>
        <v>5001-PM03-BR-BR1-35-24-203</v>
      </c>
      <c r="K709" s="14">
        <f>LEN(J709)</f>
        <v>26</v>
      </c>
      <c r="L709" s="35" t="s">
        <v>1356</v>
      </c>
      <c r="M709" s="14">
        <f t="shared" si="45"/>
        <v>34</v>
      </c>
      <c r="AD709" s="36" t="s">
        <v>35</v>
      </c>
      <c r="AE709" s="14"/>
    </row>
    <row r="710" spans="2:31" s="15" customFormat="1" x14ac:dyDescent="0.25">
      <c r="B710" s="16">
        <v>2</v>
      </c>
      <c r="H710" s="15" t="s">
        <v>1355</v>
      </c>
      <c r="L710" s="15" t="s">
        <v>1357</v>
      </c>
      <c r="M710" s="16">
        <f t="shared" si="45"/>
        <v>38</v>
      </c>
      <c r="AD710" s="37" t="s">
        <v>35</v>
      </c>
      <c r="AE710" s="22"/>
    </row>
    <row r="711" spans="2:31" s="18" customFormat="1" x14ac:dyDescent="0.25">
      <c r="B711" s="54">
        <v>3</v>
      </c>
      <c r="C711" s="53"/>
      <c r="D711" s="53"/>
      <c r="E711" s="53"/>
      <c r="F711" s="53"/>
      <c r="G711" s="53"/>
      <c r="H711" s="53"/>
      <c r="I711" s="53" t="s">
        <v>1358</v>
      </c>
      <c r="J711" s="53"/>
      <c r="K711" s="53"/>
      <c r="L711" s="53" t="s">
        <v>1359</v>
      </c>
      <c r="M711" s="54">
        <f t="shared" si="45"/>
        <v>44</v>
      </c>
      <c r="AD711" s="53" t="s">
        <v>35</v>
      </c>
      <c r="AE711" s="53"/>
    </row>
    <row r="712" spans="2:31" s="18" customFormat="1" x14ac:dyDescent="0.25">
      <c r="B712" s="54">
        <v>3</v>
      </c>
      <c r="C712" s="53"/>
      <c r="D712" s="53"/>
      <c r="E712" s="53"/>
      <c r="F712" s="53"/>
      <c r="G712" s="53"/>
      <c r="H712" s="53"/>
      <c r="I712" s="53" t="s">
        <v>1360</v>
      </c>
      <c r="J712" s="53"/>
      <c r="K712" s="53"/>
      <c r="L712" s="53" t="s">
        <v>1361</v>
      </c>
      <c r="M712" s="54">
        <f t="shared" si="45"/>
        <v>40</v>
      </c>
      <c r="AD712" s="53" t="s">
        <v>35</v>
      </c>
      <c r="AE712" s="53"/>
    </row>
    <row r="713" spans="2:31" s="18" customFormat="1" x14ac:dyDescent="0.25">
      <c r="B713" s="54">
        <v>3</v>
      </c>
      <c r="C713" s="53"/>
      <c r="D713" s="53"/>
      <c r="E713" s="53"/>
      <c r="F713" s="53"/>
      <c r="G713" s="53"/>
      <c r="H713" s="53"/>
      <c r="I713" s="53" t="s">
        <v>1362</v>
      </c>
      <c r="J713" s="53"/>
      <c r="K713" s="53"/>
      <c r="L713" s="53" t="s">
        <v>1363</v>
      </c>
      <c r="M713" s="54">
        <f t="shared" si="45"/>
        <v>38</v>
      </c>
      <c r="AD713" s="53" t="s">
        <v>35</v>
      </c>
      <c r="AE713" s="53"/>
    </row>
    <row r="714" spans="2:31" s="13" customFormat="1" x14ac:dyDescent="0.25">
      <c r="B714" s="14">
        <v>1</v>
      </c>
      <c r="C714" s="13">
        <v>5001</v>
      </c>
      <c r="D714" s="14" t="s">
        <v>31</v>
      </c>
      <c r="E714" s="14" t="s">
        <v>32</v>
      </c>
      <c r="F714" s="14" t="s">
        <v>34</v>
      </c>
      <c r="G714" s="35" t="s">
        <v>1002</v>
      </c>
      <c r="H714" s="35"/>
      <c r="I714" s="35"/>
      <c r="J714" s="13" t="str">
        <f>(C714)&amp;"-"&amp;(D714)&amp;"-"&amp;(E714)&amp;"-"&amp;(F714)&amp;"-"&amp;(G714)</f>
        <v>5001-PM03-BR-BR1-35-24-215</v>
      </c>
      <c r="K714" s="14">
        <f>LEN(J714)</f>
        <v>26</v>
      </c>
      <c r="L714" s="35" t="s">
        <v>1364</v>
      </c>
      <c r="M714" s="14">
        <f t="shared" si="45"/>
        <v>37</v>
      </c>
      <c r="AD714" s="36" t="s">
        <v>35</v>
      </c>
      <c r="AE714" s="14"/>
    </row>
    <row r="715" spans="2:30" s="15" customFormat="1" x14ac:dyDescent="0.25">
      <c r="B715" s="16">
        <v>2</v>
      </c>
      <c r="H715" s="15" t="s">
        <v>1365</v>
      </c>
      <c r="L715" s="15" t="s">
        <v>1366</v>
      </c>
      <c r="M715" s="16">
        <f t="shared" si="45"/>
        <v>31</v>
      </c>
      <c r="AD715" s="37" t="s">
        <v>35</v>
      </c>
    </row>
    <row r="716" spans="2:30" s="18" customFormat="1" x14ac:dyDescent="0.25">
      <c r="B716" s="54">
        <v>3</v>
      </c>
      <c r="I716" s="18" t="s">
        <v>1367</v>
      </c>
      <c r="L716" s="18" t="s">
        <v>1368</v>
      </c>
      <c r="M716" s="19">
        <f t="shared" si="45"/>
        <v>37</v>
      </c>
      <c r="AD716" s="53" t="s">
        <v>35</v>
      </c>
    </row>
    <row r="717" spans="2:30" s="18" customFormat="1" x14ac:dyDescent="0.25">
      <c r="B717" s="54">
        <v>3</v>
      </c>
      <c r="I717" s="18" t="s">
        <v>1369</v>
      </c>
      <c r="L717" s="18" t="s">
        <v>1370</v>
      </c>
      <c r="M717" s="19">
        <f t="shared" si="45"/>
        <v>32</v>
      </c>
      <c r="AD717" s="53" t="s">
        <v>35</v>
      </c>
    </row>
    <row r="718" spans="2:30" s="18" customFormat="1" x14ac:dyDescent="0.25">
      <c r="B718" s="54">
        <v>3</v>
      </c>
      <c r="I718" s="18" t="s">
        <v>1371</v>
      </c>
      <c r="L718" s="18" t="s">
        <v>1372</v>
      </c>
      <c r="M718" s="19">
        <f t="shared" si="45"/>
        <v>37</v>
      </c>
      <c r="AD718" s="53" t="s">
        <v>1373</v>
      </c>
    </row>
    <row r="719" spans="2:30" s="18" customFormat="1" x14ac:dyDescent="0.25">
      <c r="B719" s="54">
        <v>3</v>
      </c>
      <c r="I719" s="18" t="s">
        <v>1374</v>
      </c>
      <c r="L719" s="18" t="s">
        <v>1375</v>
      </c>
      <c r="M719" s="19">
        <f t="shared" si="45"/>
        <v>36</v>
      </c>
      <c r="AD719" s="53" t="s">
        <v>1373</v>
      </c>
    </row>
    <row r="720" spans="2:30" s="18" customFormat="1" x14ac:dyDescent="0.25">
      <c r="B720" s="54">
        <v>3</v>
      </c>
      <c r="I720" s="18" t="s">
        <v>41</v>
      </c>
      <c r="L720" s="18" t="s">
        <v>1376</v>
      </c>
      <c r="M720" s="19">
        <f t="shared" si="45"/>
        <v>37</v>
      </c>
      <c r="AD720" s="53" t="s">
        <v>1373</v>
      </c>
    </row>
    <row r="721" spans="2:30" s="18" customFormat="1" x14ac:dyDescent="0.25">
      <c r="B721" s="54">
        <v>3</v>
      </c>
      <c r="I721" s="18" t="s">
        <v>1377</v>
      </c>
      <c r="L721" s="18" t="s">
        <v>1378</v>
      </c>
      <c r="M721" s="19">
        <f t="shared" si="45"/>
        <v>32</v>
      </c>
      <c r="AD721" s="53" t="s">
        <v>1373</v>
      </c>
    </row>
    <row r="722" spans="2:30" s="18" customFormat="1" x14ac:dyDescent="0.25">
      <c r="B722" s="54">
        <v>3</v>
      </c>
      <c r="I722" s="18" t="s">
        <v>1379</v>
      </c>
      <c r="L722" s="18" t="s">
        <v>1380</v>
      </c>
      <c r="M722" s="19">
        <f t="shared" si="45"/>
        <v>37</v>
      </c>
      <c r="AD722" s="53" t="s">
        <v>1373</v>
      </c>
    </row>
    <row r="723" spans="2:30" s="15" customFormat="1" x14ac:dyDescent="0.25">
      <c r="B723" s="16">
        <v>2</v>
      </c>
      <c r="H723" s="15" t="s">
        <v>1006</v>
      </c>
      <c r="L723" s="15" t="s">
        <v>1381</v>
      </c>
      <c r="M723" s="16">
        <f t="shared" si="45"/>
        <v>31</v>
      </c>
      <c r="AD723" s="37" t="s">
        <v>35</v>
      </c>
    </row>
    <row r="724" spans="2:30" s="18" customFormat="1" x14ac:dyDescent="0.25">
      <c r="B724" s="19">
        <v>3</v>
      </c>
      <c r="I724" s="18" t="s">
        <v>43</v>
      </c>
      <c r="L724" s="18" t="s">
        <v>1382</v>
      </c>
      <c r="M724" s="19">
        <f>LEN(L724)</f>
        <v>26</v>
      </c>
      <c r="AD724" s="53" t="s">
        <v>1373</v>
      </c>
    </row>
    <row r="725" spans="2:30" s="15" customFormat="1" x14ac:dyDescent="0.25">
      <c r="B725" s="16">
        <v>2</v>
      </c>
      <c r="H725" s="22" t="s">
        <v>1292</v>
      </c>
      <c r="L725" s="22" t="s">
        <v>1383</v>
      </c>
      <c r="M725" s="16">
        <f t="shared" ref="M725:M733" si="46">LEN(L725)</f>
        <v>37</v>
      </c>
      <c r="AD725" s="37" t="s">
        <v>35</v>
      </c>
    </row>
    <row r="726" spans="2:30" s="18" customFormat="1" x14ac:dyDescent="0.25">
      <c r="B726" s="54">
        <v>3</v>
      </c>
      <c r="I726" s="18" t="s">
        <v>1384</v>
      </c>
      <c r="L726" s="18" t="s">
        <v>1385</v>
      </c>
      <c r="M726" s="19">
        <f t="shared" si="46"/>
        <v>37</v>
      </c>
      <c r="AD726" s="53" t="s">
        <v>35</v>
      </c>
    </row>
    <row r="727" spans="2:30" s="18" customFormat="1" x14ac:dyDescent="0.25">
      <c r="B727" s="54">
        <v>3</v>
      </c>
      <c r="I727" s="18" t="s">
        <v>1386</v>
      </c>
      <c r="L727" s="18" t="s">
        <v>1387</v>
      </c>
      <c r="M727" s="19">
        <f t="shared" si="46"/>
        <v>32</v>
      </c>
      <c r="AD727" s="53" t="s">
        <v>35</v>
      </c>
    </row>
    <row r="728" spans="2:30" s="18" customFormat="1" x14ac:dyDescent="0.25">
      <c r="B728" s="54">
        <v>3</v>
      </c>
      <c r="I728" s="18" t="s">
        <v>1388</v>
      </c>
      <c r="L728" s="18" t="s">
        <v>1389</v>
      </c>
      <c r="M728" s="19">
        <f t="shared" si="46"/>
        <v>37</v>
      </c>
      <c r="AD728" s="53" t="s">
        <v>1373</v>
      </c>
    </row>
    <row r="729" spans="2:30" s="18" customFormat="1" x14ac:dyDescent="0.25">
      <c r="B729" s="54">
        <v>3</v>
      </c>
      <c r="I729" s="18" t="s">
        <v>922</v>
      </c>
      <c r="L729" s="18" t="s">
        <v>1390</v>
      </c>
      <c r="M729" s="19">
        <f t="shared" si="46"/>
        <v>36</v>
      </c>
      <c r="AD729" s="53" t="s">
        <v>1373</v>
      </c>
    </row>
    <row r="730" spans="2:30" s="18" customFormat="1" x14ac:dyDescent="0.25">
      <c r="B730" s="54">
        <v>3</v>
      </c>
      <c r="I730" s="18" t="s">
        <v>929</v>
      </c>
      <c r="L730" s="18" t="s">
        <v>1391</v>
      </c>
      <c r="M730" s="19">
        <f t="shared" si="46"/>
        <v>37</v>
      </c>
      <c r="AD730" s="53" t="s">
        <v>1373</v>
      </c>
    </row>
    <row r="731" spans="2:30" s="18" customFormat="1" x14ac:dyDescent="0.25">
      <c r="B731" s="54">
        <v>3</v>
      </c>
      <c r="I731" s="18" t="s">
        <v>1392</v>
      </c>
      <c r="L731" s="18" t="s">
        <v>1393</v>
      </c>
      <c r="M731" s="19">
        <f t="shared" si="46"/>
        <v>32</v>
      </c>
      <c r="AD731" s="53" t="s">
        <v>1373</v>
      </c>
    </row>
    <row r="732" spans="2:30" s="18" customFormat="1" x14ac:dyDescent="0.25">
      <c r="B732" s="54">
        <v>3</v>
      </c>
      <c r="I732" s="18" t="s">
        <v>1394</v>
      </c>
      <c r="L732" s="18" t="s">
        <v>1395</v>
      </c>
      <c r="M732" s="19">
        <f t="shared" si="46"/>
        <v>37</v>
      </c>
      <c r="AD732" s="53" t="s">
        <v>1373</v>
      </c>
    </row>
    <row r="733" spans="2:30" s="15" customFormat="1" x14ac:dyDescent="0.25">
      <c r="B733" s="16">
        <v>2</v>
      </c>
      <c r="H733" s="15" t="s">
        <v>1301</v>
      </c>
      <c r="L733" s="15" t="s">
        <v>1396</v>
      </c>
      <c r="M733" s="16">
        <f t="shared" si="46"/>
        <v>31</v>
      </c>
      <c r="AD733" s="37" t="s">
        <v>35</v>
      </c>
    </row>
    <row r="734" spans="2:30" s="18" customFormat="1" x14ac:dyDescent="0.25">
      <c r="B734" s="54">
        <v>3</v>
      </c>
      <c r="I734" s="18" t="s">
        <v>935</v>
      </c>
      <c r="L734" s="18" t="s">
        <v>1397</v>
      </c>
      <c r="M734" s="19">
        <f>LEN(L734)</f>
        <v>26</v>
      </c>
      <c r="AD734" s="53" t="s">
        <v>1373</v>
      </c>
    </row>
    <row r="735" spans="2:30" s="15" customFormat="1" x14ac:dyDescent="0.25">
      <c r="B735" s="16">
        <v>2</v>
      </c>
      <c r="H735" s="15" t="s">
        <v>1398</v>
      </c>
      <c r="L735" s="15" t="s">
        <v>1399</v>
      </c>
      <c r="M735" s="16">
        <f t="shared" ref="M735:M743" si="47">LEN(L735)</f>
        <v>30</v>
      </c>
      <c r="AD735" s="37" t="s">
        <v>35</v>
      </c>
    </row>
    <row r="736" spans="2:30" s="18" customFormat="1" x14ac:dyDescent="0.25">
      <c r="B736" s="54">
        <v>3</v>
      </c>
      <c r="I736" s="18" t="s">
        <v>823</v>
      </c>
      <c r="L736" s="18" t="s">
        <v>1400</v>
      </c>
      <c r="M736" s="19">
        <f t="shared" si="47"/>
        <v>37</v>
      </c>
      <c r="AD736" s="53" t="s">
        <v>35</v>
      </c>
    </row>
    <row r="737" spans="2:30" s="18" customFormat="1" x14ac:dyDescent="0.25">
      <c r="B737" s="54">
        <v>3</v>
      </c>
      <c r="I737" s="18" t="s">
        <v>1401</v>
      </c>
      <c r="L737" s="18" t="s">
        <v>1402</v>
      </c>
      <c r="M737" s="19">
        <f t="shared" si="47"/>
        <v>32</v>
      </c>
      <c r="AD737" s="53" t="s">
        <v>35</v>
      </c>
    </row>
    <row r="738" spans="2:30" s="18" customFormat="1" x14ac:dyDescent="0.25">
      <c r="B738" s="54">
        <v>3</v>
      </c>
      <c r="I738" s="18" t="s">
        <v>1403</v>
      </c>
      <c r="L738" s="18" t="s">
        <v>1404</v>
      </c>
      <c r="M738" s="19">
        <f t="shared" si="47"/>
        <v>37</v>
      </c>
      <c r="AD738" s="53" t="s">
        <v>1373</v>
      </c>
    </row>
    <row r="739" spans="2:30" s="18" customFormat="1" x14ac:dyDescent="0.25">
      <c r="B739" s="54">
        <v>3</v>
      </c>
      <c r="I739" s="18" t="s">
        <v>1405</v>
      </c>
      <c r="L739" s="18" t="s">
        <v>1406</v>
      </c>
      <c r="M739" s="19">
        <f t="shared" si="47"/>
        <v>37</v>
      </c>
      <c r="AD739" s="53" t="s">
        <v>1373</v>
      </c>
    </row>
    <row r="740" spans="2:30" s="18" customFormat="1" x14ac:dyDescent="0.25">
      <c r="B740" s="54">
        <v>3</v>
      </c>
      <c r="I740" s="18" t="s">
        <v>429</v>
      </c>
      <c r="L740" s="18" t="s">
        <v>1407</v>
      </c>
      <c r="M740" s="19">
        <f t="shared" si="47"/>
        <v>37</v>
      </c>
      <c r="AD740" s="53" t="s">
        <v>1373</v>
      </c>
    </row>
    <row r="741" spans="2:30" s="18" customFormat="1" x14ac:dyDescent="0.25">
      <c r="B741" s="54">
        <v>3</v>
      </c>
      <c r="I741" s="18" t="s">
        <v>1408</v>
      </c>
      <c r="L741" s="18" t="s">
        <v>1409</v>
      </c>
      <c r="M741" s="19">
        <f t="shared" si="47"/>
        <v>32</v>
      </c>
      <c r="AD741" s="53" t="s">
        <v>1373</v>
      </c>
    </row>
    <row r="742" spans="2:30" s="18" customFormat="1" x14ac:dyDescent="0.25">
      <c r="B742" s="19">
        <v>3</v>
      </c>
      <c r="I742" s="18" t="s">
        <v>1410</v>
      </c>
      <c r="L742" s="18" t="s">
        <v>1411</v>
      </c>
      <c r="M742" s="19">
        <f t="shared" si="47"/>
        <v>37</v>
      </c>
      <c r="AD742" s="53" t="s">
        <v>1373</v>
      </c>
    </row>
    <row r="743" spans="2:30" s="15" customFormat="1" x14ac:dyDescent="0.25">
      <c r="B743" s="16">
        <v>2</v>
      </c>
      <c r="H743" s="15" t="s">
        <v>1412</v>
      </c>
      <c r="L743" s="15" t="s">
        <v>1413</v>
      </c>
      <c r="M743" s="16">
        <f t="shared" si="47"/>
        <v>31</v>
      </c>
      <c r="AD743" s="37" t="s">
        <v>35</v>
      </c>
    </row>
    <row r="744" spans="2:30" s="18" customFormat="1" x14ac:dyDescent="0.25">
      <c r="B744" s="19">
        <v>3</v>
      </c>
      <c r="I744" s="18" t="s">
        <v>849</v>
      </c>
      <c r="L744" s="18" t="s">
        <v>1414</v>
      </c>
      <c r="M744" s="19">
        <f>LEN(L744)</f>
        <v>26</v>
      </c>
      <c r="AD744" s="53" t="s">
        <v>1373</v>
      </c>
    </row>
    <row r="745" spans="2:30" s="15" customFormat="1" x14ac:dyDescent="0.25">
      <c r="B745" s="16">
        <v>2</v>
      </c>
      <c r="H745" s="15" t="s">
        <v>648</v>
      </c>
      <c r="L745" s="15" t="s">
        <v>1415</v>
      </c>
      <c r="M745" s="16">
        <f t="shared" ref="M745:M753" si="48">LEN(L745)</f>
        <v>30</v>
      </c>
      <c r="AD745" s="37" t="s">
        <v>35</v>
      </c>
    </row>
    <row r="746" spans="2:30" s="18" customFormat="1" x14ac:dyDescent="0.25">
      <c r="B746" s="54">
        <v>3</v>
      </c>
      <c r="I746" s="18" t="s">
        <v>1416</v>
      </c>
      <c r="L746" s="18" t="s">
        <v>1417</v>
      </c>
      <c r="M746" s="19">
        <f t="shared" si="48"/>
        <v>37</v>
      </c>
      <c r="AD746" s="53" t="s">
        <v>35</v>
      </c>
    </row>
    <row r="747" spans="2:30" s="18" customFormat="1" x14ac:dyDescent="0.25">
      <c r="B747" s="54">
        <v>3</v>
      </c>
      <c r="I747" s="18" t="s">
        <v>1418</v>
      </c>
      <c r="L747" s="18" t="s">
        <v>1419</v>
      </c>
      <c r="M747" s="19">
        <f t="shared" si="48"/>
        <v>32</v>
      </c>
      <c r="AD747" s="53" t="s">
        <v>35</v>
      </c>
    </row>
    <row r="748" spans="2:30" s="18" customFormat="1" x14ac:dyDescent="0.25">
      <c r="B748" s="54">
        <v>3</v>
      </c>
      <c r="I748" s="18" t="s">
        <v>1420</v>
      </c>
      <c r="L748" s="18" t="s">
        <v>1421</v>
      </c>
      <c r="M748" s="19">
        <f t="shared" si="48"/>
        <v>37</v>
      </c>
      <c r="AD748" s="53" t="s">
        <v>1373</v>
      </c>
    </row>
    <row r="749" spans="2:30" s="18" customFormat="1" x14ac:dyDescent="0.25">
      <c r="B749" s="54">
        <v>3</v>
      </c>
      <c r="I749" s="18" t="s">
        <v>1422</v>
      </c>
      <c r="L749" s="18" t="s">
        <v>1423</v>
      </c>
      <c r="M749" s="19">
        <f t="shared" si="48"/>
        <v>37</v>
      </c>
      <c r="AD749" s="53" t="s">
        <v>1373</v>
      </c>
    </row>
    <row r="750" spans="2:30" s="18" customFormat="1" x14ac:dyDescent="0.25">
      <c r="B750" s="54">
        <v>3</v>
      </c>
      <c r="I750" s="18" t="s">
        <v>625</v>
      </c>
      <c r="L750" s="18" t="s">
        <v>1424</v>
      </c>
      <c r="M750" s="19">
        <f t="shared" si="48"/>
        <v>37</v>
      </c>
      <c r="AD750" s="53" t="s">
        <v>1373</v>
      </c>
    </row>
    <row r="751" spans="2:30" s="18" customFormat="1" x14ac:dyDescent="0.25">
      <c r="B751" s="19">
        <v>3</v>
      </c>
      <c r="I751" s="18" t="s">
        <v>1425</v>
      </c>
      <c r="L751" s="18" t="s">
        <v>1426</v>
      </c>
      <c r="M751" s="19">
        <f t="shared" si="48"/>
        <v>32</v>
      </c>
      <c r="AD751" s="53" t="s">
        <v>1373</v>
      </c>
    </row>
    <row r="752" spans="2:30" s="18" customFormat="1" x14ac:dyDescent="0.25">
      <c r="B752" s="19">
        <v>3</v>
      </c>
      <c r="I752" s="18" t="s">
        <v>1427</v>
      </c>
      <c r="L752" s="18" t="s">
        <v>1428</v>
      </c>
      <c r="M752" s="19">
        <f t="shared" si="48"/>
        <v>37</v>
      </c>
      <c r="AD752" s="53" t="s">
        <v>1373</v>
      </c>
    </row>
    <row r="753" spans="2:30" s="15" customFormat="1" x14ac:dyDescent="0.25">
      <c r="B753" s="16">
        <v>2</v>
      </c>
      <c r="H753" s="15" t="s">
        <v>1215</v>
      </c>
      <c r="L753" s="15" t="s">
        <v>1429</v>
      </c>
      <c r="M753" s="16">
        <f t="shared" si="48"/>
        <v>31</v>
      </c>
      <c r="AD753" s="37" t="s">
        <v>35</v>
      </c>
    </row>
    <row r="754" spans="2:30" s="18" customFormat="1" x14ac:dyDescent="0.25">
      <c r="B754" s="19">
        <v>3</v>
      </c>
      <c r="I754" s="18" t="s">
        <v>1430</v>
      </c>
      <c r="L754" s="18" t="s">
        <v>1431</v>
      </c>
      <c r="M754" s="19">
        <f>LEN(L754)</f>
        <v>27</v>
      </c>
      <c r="AD754" s="53" t="s">
        <v>1373</v>
      </c>
    </row>
    <row r="755" spans="2:30" s="15" customFormat="1" x14ac:dyDescent="0.25">
      <c r="B755" s="16">
        <v>2</v>
      </c>
      <c r="H755" s="15" t="s">
        <v>1432</v>
      </c>
      <c r="L755" s="15" t="s">
        <v>1433</v>
      </c>
      <c r="M755" s="16">
        <f t="shared" ref="M755:M763" si="49">LEN(L755)</f>
        <v>30</v>
      </c>
      <c r="AD755" s="37" t="s">
        <v>35</v>
      </c>
    </row>
    <row r="756" spans="2:30" s="18" customFormat="1" x14ac:dyDescent="0.25">
      <c r="B756" s="19">
        <v>3</v>
      </c>
      <c r="I756" s="18" t="s">
        <v>584</v>
      </c>
      <c r="L756" s="18" t="s">
        <v>1434</v>
      </c>
      <c r="M756" s="19">
        <f t="shared" si="49"/>
        <v>37</v>
      </c>
      <c r="AD756" s="53" t="s">
        <v>35</v>
      </c>
    </row>
    <row r="757" spans="2:30" s="18" customFormat="1" x14ac:dyDescent="0.25">
      <c r="B757" s="19">
        <v>3</v>
      </c>
      <c r="I757" s="18" t="s">
        <v>1435</v>
      </c>
      <c r="L757" s="18" t="s">
        <v>1436</v>
      </c>
      <c r="M757" s="19">
        <f t="shared" si="49"/>
        <v>32</v>
      </c>
      <c r="AD757" s="53" t="s">
        <v>35</v>
      </c>
    </row>
    <row r="758" spans="2:30" s="18" customFormat="1" x14ac:dyDescent="0.25">
      <c r="B758" s="19">
        <v>3</v>
      </c>
      <c r="I758" s="18" t="s">
        <v>1437</v>
      </c>
      <c r="L758" s="18" t="s">
        <v>1438</v>
      </c>
      <c r="M758" s="19">
        <f t="shared" si="49"/>
        <v>37</v>
      </c>
      <c r="AD758" s="53" t="s">
        <v>1373</v>
      </c>
    </row>
    <row r="759" spans="2:30" s="18" customFormat="1" x14ac:dyDescent="0.25">
      <c r="B759" s="19">
        <v>3</v>
      </c>
      <c r="I759" s="18" t="s">
        <v>1439</v>
      </c>
      <c r="L759" s="18" t="s">
        <v>1440</v>
      </c>
      <c r="M759" s="19">
        <f t="shared" si="49"/>
        <v>37</v>
      </c>
      <c r="AD759" s="53" t="s">
        <v>1373</v>
      </c>
    </row>
    <row r="760" spans="2:30" s="18" customFormat="1" x14ac:dyDescent="0.25">
      <c r="B760" s="19">
        <v>3</v>
      </c>
      <c r="I760" s="18" t="s">
        <v>1441</v>
      </c>
      <c r="L760" s="18" t="s">
        <v>1442</v>
      </c>
      <c r="M760" s="19">
        <f t="shared" si="49"/>
        <v>38</v>
      </c>
      <c r="AD760" s="53" t="s">
        <v>1373</v>
      </c>
    </row>
    <row r="761" spans="2:30" s="18" customFormat="1" x14ac:dyDescent="0.25">
      <c r="B761" s="19">
        <v>3</v>
      </c>
      <c r="I761" s="18" t="s">
        <v>1443</v>
      </c>
      <c r="L761" s="18" t="s">
        <v>1444</v>
      </c>
      <c r="M761" s="19">
        <f t="shared" si="49"/>
        <v>32</v>
      </c>
      <c r="AD761" s="53" t="s">
        <v>1373</v>
      </c>
    </row>
    <row r="762" spans="2:30" s="18" customFormat="1" x14ac:dyDescent="0.25">
      <c r="B762" s="19">
        <v>3</v>
      </c>
      <c r="I762" s="18" t="s">
        <v>1445</v>
      </c>
      <c r="L762" s="18" t="s">
        <v>1446</v>
      </c>
      <c r="M762" s="19">
        <f t="shared" si="49"/>
        <v>37</v>
      </c>
      <c r="AD762" s="53" t="s">
        <v>1373</v>
      </c>
    </row>
    <row r="763" spans="2:30" s="15" customFormat="1" x14ac:dyDescent="0.25">
      <c r="B763" s="16">
        <v>2</v>
      </c>
      <c r="H763" s="15" t="s">
        <v>1447</v>
      </c>
      <c r="L763" s="15" t="s">
        <v>1448</v>
      </c>
      <c r="M763" s="16">
        <f t="shared" si="49"/>
        <v>31</v>
      </c>
      <c r="AD763" s="37" t="s">
        <v>35</v>
      </c>
    </row>
    <row r="764" spans="2:30" s="18" customFormat="1" x14ac:dyDescent="0.25">
      <c r="B764" s="19">
        <v>3</v>
      </c>
      <c r="I764" s="18" t="s">
        <v>1449</v>
      </c>
      <c r="L764" s="18" t="s">
        <v>1450</v>
      </c>
      <c r="M764" s="19">
        <f>LEN(L764)</f>
        <v>27</v>
      </c>
      <c r="AD764" s="53" t="s">
        <v>1373</v>
      </c>
    </row>
    <row r="765" spans="2:30" s="15" customFormat="1" x14ac:dyDescent="0.25">
      <c r="B765" s="16">
        <v>2</v>
      </c>
      <c r="H765" s="15" t="s">
        <v>1451</v>
      </c>
      <c r="L765" s="15" t="s">
        <v>1452</v>
      </c>
      <c r="M765" s="16">
        <f t="shared" ref="M765:M773" si="50">LEN(L765)</f>
        <v>30</v>
      </c>
      <c r="AD765" s="37" t="s">
        <v>35</v>
      </c>
    </row>
    <row r="766" spans="2:30" s="18" customFormat="1" x14ac:dyDescent="0.25">
      <c r="B766" s="19">
        <v>3</v>
      </c>
      <c r="I766" s="18" t="s">
        <v>1453</v>
      </c>
      <c r="L766" s="18" t="s">
        <v>1454</v>
      </c>
      <c r="M766" s="19">
        <f t="shared" si="50"/>
        <v>38</v>
      </c>
      <c r="AD766" s="53" t="s">
        <v>35</v>
      </c>
    </row>
    <row r="767" spans="2:30" s="18" customFormat="1" x14ac:dyDescent="0.25">
      <c r="B767" s="19">
        <v>3</v>
      </c>
      <c r="I767" s="18" t="s">
        <v>1455</v>
      </c>
      <c r="L767" s="18" t="s">
        <v>1456</v>
      </c>
      <c r="M767" s="19">
        <f t="shared" si="50"/>
        <v>32</v>
      </c>
      <c r="AD767" s="53" t="s">
        <v>35</v>
      </c>
    </row>
    <row r="768" spans="2:30" s="18" customFormat="1" x14ac:dyDescent="0.25">
      <c r="B768" s="19">
        <v>3</v>
      </c>
      <c r="I768" s="18" t="s">
        <v>1457</v>
      </c>
      <c r="L768" s="18" t="s">
        <v>1458</v>
      </c>
      <c r="M768" s="19">
        <f t="shared" si="50"/>
        <v>36</v>
      </c>
      <c r="AD768" s="53" t="s">
        <v>1373</v>
      </c>
    </row>
    <row r="769" spans="2:30" s="18" customFormat="1" x14ac:dyDescent="0.25">
      <c r="B769" s="19">
        <v>3</v>
      </c>
      <c r="I769" s="18" t="s">
        <v>393</v>
      </c>
      <c r="L769" s="18" t="s">
        <v>1459</v>
      </c>
      <c r="M769" s="19">
        <f t="shared" si="50"/>
        <v>36</v>
      </c>
      <c r="AD769" s="53" t="s">
        <v>1373</v>
      </c>
    </row>
    <row r="770" spans="2:30" s="18" customFormat="1" x14ac:dyDescent="0.25">
      <c r="B770" s="19">
        <v>3</v>
      </c>
      <c r="I770" s="18" t="s">
        <v>391</v>
      </c>
      <c r="L770" s="18" t="s">
        <v>1460</v>
      </c>
      <c r="M770" s="19">
        <f t="shared" si="50"/>
        <v>37</v>
      </c>
      <c r="AD770" s="53" t="s">
        <v>1373</v>
      </c>
    </row>
    <row r="771" spans="2:30" s="18" customFormat="1" x14ac:dyDescent="0.25">
      <c r="B771" s="19">
        <v>3</v>
      </c>
      <c r="I771" s="18" t="s">
        <v>1461</v>
      </c>
      <c r="L771" s="18" t="s">
        <v>1462</v>
      </c>
      <c r="M771" s="19">
        <f t="shared" si="50"/>
        <v>32</v>
      </c>
      <c r="AD771" s="53" t="s">
        <v>1373</v>
      </c>
    </row>
    <row r="772" spans="2:30" s="18" customFormat="1" x14ac:dyDescent="0.25">
      <c r="B772" s="19">
        <v>3</v>
      </c>
      <c r="I772" s="18" t="s">
        <v>1463</v>
      </c>
      <c r="L772" s="18" t="s">
        <v>1464</v>
      </c>
      <c r="M772" s="19">
        <f t="shared" si="50"/>
        <v>37</v>
      </c>
      <c r="AD772" s="53" t="s">
        <v>1373</v>
      </c>
    </row>
    <row r="773" spans="2:30" s="15" customFormat="1" x14ac:dyDescent="0.25">
      <c r="B773" s="16">
        <v>2</v>
      </c>
      <c r="H773" s="15" t="s">
        <v>1465</v>
      </c>
      <c r="L773" s="15" t="s">
        <v>1466</v>
      </c>
      <c r="M773" s="16">
        <f t="shared" si="50"/>
        <v>31</v>
      </c>
      <c r="AD773" s="37" t="s">
        <v>35</v>
      </c>
    </row>
    <row r="774" spans="2:30" s="18" customFormat="1" x14ac:dyDescent="0.25">
      <c r="B774" s="19">
        <v>3</v>
      </c>
      <c r="I774" s="18" t="s">
        <v>1467</v>
      </c>
      <c r="L774" s="18" t="s">
        <v>1468</v>
      </c>
      <c r="M774" s="19">
        <f>LEN(L774)</f>
        <v>26</v>
      </c>
      <c r="AD774" s="53" t="s">
        <v>1373</v>
      </c>
    </row>
    <row r="775" spans="2:31" s="13" customFormat="1" x14ac:dyDescent="0.25">
      <c r="B775" s="14">
        <v>1</v>
      </c>
      <c r="C775" s="13">
        <v>5001</v>
      </c>
      <c r="D775" s="14" t="s">
        <v>31</v>
      </c>
      <c r="E775" s="14" t="s">
        <v>32</v>
      </c>
      <c r="F775" s="14" t="s">
        <v>34</v>
      </c>
      <c r="G775" s="35" t="s">
        <v>219</v>
      </c>
      <c r="H775" s="35"/>
      <c r="I775" s="35"/>
      <c r="J775" s="13" t="str">
        <f>(C775)&amp;"-"&amp;(D775)&amp;"-"&amp;(E775)&amp;"-"&amp;(F775)&amp;"-"&amp;(G775)</f>
        <v>5001-PM03-BR-BR1-35-24-216</v>
      </c>
      <c r="K775" s="14">
        <f>LEN(J775)</f>
        <v>26</v>
      </c>
      <c r="L775" s="35" t="s">
        <v>1469</v>
      </c>
      <c r="M775" s="14">
        <f t="shared" ref="M775:M837" si="51">LEN(L775)</f>
        <v>33</v>
      </c>
      <c r="AD775" s="36" t="s">
        <v>35</v>
      </c>
      <c r="AE775" s="14"/>
    </row>
    <row r="776" spans="2:31" s="13" customFormat="1" x14ac:dyDescent="0.25">
      <c r="B776" s="14">
        <v>1</v>
      </c>
      <c r="C776" s="13">
        <v>5001</v>
      </c>
      <c r="D776" s="14" t="s">
        <v>31</v>
      </c>
      <c r="E776" s="14" t="s">
        <v>32</v>
      </c>
      <c r="F776" s="14" t="s">
        <v>34</v>
      </c>
      <c r="G776" s="35" t="s">
        <v>625</v>
      </c>
      <c r="H776" s="35"/>
      <c r="I776" s="35"/>
      <c r="J776" s="13" t="str">
        <f>(C776)&amp;"-"&amp;(D776)&amp;"-"&amp;(E776)&amp;"-"&amp;(F776)&amp;"-"&amp;(G776)</f>
        <v>5001-PM03-BR-BR1-35-24-117</v>
      </c>
      <c r="K776" s="14">
        <f>LEN(J776)</f>
        <v>26</v>
      </c>
      <c r="L776" s="35" t="s">
        <v>1470</v>
      </c>
      <c r="M776" s="14">
        <f t="shared" si="51"/>
        <v>43</v>
      </c>
      <c r="AD776" s="36" t="s">
        <v>35</v>
      </c>
      <c r="AE776" s="14"/>
    </row>
    <row r="777" spans="2:30" s="15" customFormat="1" x14ac:dyDescent="0.25">
      <c r="B777" s="16">
        <v>2</v>
      </c>
      <c r="H777" s="15" t="s">
        <v>1000</v>
      </c>
      <c r="L777" s="15" t="s">
        <v>1471</v>
      </c>
      <c r="M777" s="16">
        <f t="shared" si="51"/>
        <v>33</v>
      </c>
      <c r="AD777" s="56" t="s">
        <v>1373</v>
      </c>
    </row>
    <row r="778" spans="2:30" s="18" customFormat="1" x14ac:dyDescent="0.25">
      <c r="B778" s="54">
        <v>3</v>
      </c>
      <c r="I778" s="18" t="s">
        <v>67</v>
      </c>
      <c r="L778" s="18" t="s">
        <v>1472</v>
      </c>
      <c r="M778" s="19">
        <f t="shared" si="51"/>
        <v>40</v>
      </c>
      <c r="AD778" s="53" t="s">
        <v>1373</v>
      </c>
    </row>
    <row r="779" spans="2:30" s="18" customFormat="1" x14ac:dyDescent="0.25">
      <c r="B779" s="54">
        <v>3</v>
      </c>
      <c r="I779" s="18" t="s">
        <v>55</v>
      </c>
      <c r="L779" s="18" t="s">
        <v>1473</v>
      </c>
      <c r="M779" s="19">
        <f t="shared" si="51"/>
        <v>44</v>
      </c>
      <c r="AD779" s="53" t="s">
        <v>1373</v>
      </c>
    </row>
    <row r="780" spans="2:30" s="15" customFormat="1" x14ac:dyDescent="0.25">
      <c r="B780" s="16">
        <v>2</v>
      </c>
      <c r="H780" s="15" t="s">
        <v>1474</v>
      </c>
      <c r="L780" s="15" t="s">
        <v>1475</v>
      </c>
      <c r="M780" s="16">
        <f t="shared" si="51"/>
        <v>33</v>
      </c>
      <c r="AD780" s="56" t="s">
        <v>1373</v>
      </c>
    </row>
    <row r="781" spans="2:30" s="18" customFormat="1" x14ac:dyDescent="0.25">
      <c r="B781" s="54">
        <v>3</v>
      </c>
      <c r="I781" s="18" t="s">
        <v>1319</v>
      </c>
      <c r="L781" s="18" t="s">
        <v>1476</v>
      </c>
      <c r="M781" s="19">
        <f t="shared" si="51"/>
        <v>40</v>
      </c>
      <c r="AD781" s="53" t="s">
        <v>1373</v>
      </c>
    </row>
    <row r="782" ht="15.75" customHeight="1" spans="2:30" s="18" customFormat="1" x14ac:dyDescent="0.25">
      <c r="B782" s="54">
        <v>3</v>
      </c>
      <c r="I782" s="18" t="s">
        <v>918</v>
      </c>
      <c r="L782" s="18" t="s">
        <v>1477</v>
      </c>
      <c r="M782" s="19">
        <f t="shared" si="51"/>
        <v>44</v>
      </c>
      <c r="AD782" s="53" t="s">
        <v>1373</v>
      </c>
    </row>
    <row r="783" spans="2:30" s="15" customFormat="1" x14ac:dyDescent="0.25">
      <c r="B783" s="16">
        <v>2</v>
      </c>
      <c r="H783" s="15" t="s">
        <v>1478</v>
      </c>
      <c r="L783" s="15" t="s">
        <v>1479</v>
      </c>
      <c r="M783" s="16">
        <f t="shared" si="51"/>
        <v>34</v>
      </c>
      <c r="AD783" s="56" t="s">
        <v>1373</v>
      </c>
    </row>
    <row r="784" spans="2:30" s="18" customFormat="1" x14ac:dyDescent="0.25">
      <c r="B784" s="54">
        <v>3</v>
      </c>
      <c r="I784" s="18" t="s">
        <v>1480</v>
      </c>
      <c r="L784" s="18" t="s">
        <v>1481</v>
      </c>
      <c r="M784" s="19">
        <f t="shared" si="51"/>
        <v>41</v>
      </c>
      <c r="AD784" s="53" t="s">
        <v>1373</v>
      </c>
    </row>
    <row r="785" spans="2:30" s="18" customFormat="1" x14ac:dyDescent="0.25">
      <c r="B785" s="54">
        <v>3</v>
      </c>
      <c r="I785" s="18" t="s">
        <v>819</v>
      </c>
      <c r="L785" s="18" t="s">
        <v>1482</v>
      </c>
      <c r="M785" s="19">
        <f t="shared" si="51"/>
        <v>44</v>
      </c>
      <c r="AD785" s="53" t="s">
        <v>1373</v>
      </c>
    </row>
    <row r="786" spans="2:30" s="15" customFormat="1" x14ac:dyDescent="0.25">
      <c r="B786" s="16">
        <v>2</v>
      </c>
      <c r="H786" s="15" t="s">
        <v>745</v>
      </c>
      <c r="L786" s="15" t="s">
        <v>1483</v>
      </c>
      <c r="M786" s="16">
        <f t="shared" si="51"/>
        <v>34</v>
      </c>
      <c r="AD786" s="56" t="s">
        <v>1373</v>
      </c>
    </row>
    <row r="787" spans="2:30" s="18" customFormat="1" x14ac:dyDescent="0.25">
      <c r="B787" s="54">
        <v>3</v>
      </c>
      <c r="I787" s="18" t="s">
        <v>743</v>
      </c>
      <c r="L787" s="18" t="s">
        <v>1481</v>
      </c>
      <c r="M787" s="19">
        <f t="shared" si="51"/>
        <v>41</v>
      </c>
      <c r="AD787" s="53" t="s">
        <v>1373</v>
      </c>
    </row>
    <row r="788" spans="2:30" s="18" customFormat="1" x14ac:dyDescent="0.25">
      <c r="B788" s="54">
        <v>3</v>
      </c>
      <c r="I788" s="18" t="s">
        <v>719</v>
      </c>
      <c r="L788" s="18" t="s">
        <v>1484</v>
      </c>
      <c r="M788" s="19">
        <f t="shared" si="51"/>
        <v>44</v>
      </c>
      <c r="AD788" s="53" t="s">
        <v>1373</v>
      </c>
    </row>
    <row r="789" spans="2:30" s="15" customFormat="1" x14ac:dyDescent="0.25">
      <c r="B789" s="16">
        <v>2</v>
      </c>
      <c r="H789" s="15" t="s">
        <v>646</v>
      </c>
      <c r="L789" s="15" t="s">
        <v>1485</v>
      </c>
      <c r="M789" s="16">
        <f t="shared" si="51"/>
        <v>33</v>
      </c>
      <c r="AD789" s="56" t="s">
        <v>1373</v>
      </c>
    </row>
    <row r="790" spans="2:30" s="18" customFormat="1" x14ac:dyDescent="0.25">
      <c r="B790" s="54">
        <v>3</v>
      </c>
      <c r="I790" s="18" t="s">
        <v>1486</v>
      </c>
      <c r="L790" s="18" t="s">
        <v>1487</v>
      </c>
      <c r="M790" s="19">
        <f t="shared" si="51"/>
        <v>40</v>
      </c>
      <c r="AD790" s="53" t="s">
        <v>1373</v>
      </c>
    </row>
    <row r="791" spans="2:30" s="18" customFormat="1" x14ac:dyDescent="0.25">
      <c r="B791" s="54">
        <v>3</v>
      </c>
      <c r="I791" s="18" t="s">
        <v>1465</v>
      </c>
      <c r="L791" s="18" t="s">
        <v>1488</v>
      </c>
      <c r="M791" s="19">
        <f t="shared" si="51"/>
        <v>44</v>
      </c>
      <c r="AD791" s="53" t="s">
        <v>1373</v>
      </c>
    </row>
    <row r="792" spans="2:30" s="15" customFormat="1" x14ac:dyDescent="0.25">
      <c r="B792" s="16">
        <v>2</v>
      </c>
      <c r="H792" s="15" t="s">
        <v>1187</v>
      </c>
      <c r="L792" s="15" t="s">
        <v>1489</v>
      </c>
      <c r="M792" s="16">
        <f t="shared" si="51"/>
        <v>33</v>
      </c>
      <c r="AD792" s="56" t="s">
        <v>1373</v>
      </c>
    </row>
    <row r="793" spans="2:30" s="18" customFormat="1" x14ac:dyDescent="0.25">
      <c r="B793" s="54">
        <v>3</v>
      </c>
      <c r="I793" s="18" t="s">
        <v>1185</v>
      </c>
      <c r="L793" s="18" t="s">
        <v>1490</v>
      </c>
      <c r="M793" s="19">
        <f t="shared" si="51"/>
        <v>40</v>
      </c>
      <c r="AD793" s="53" t="s">
        <v>1373</v>
      </c>
    </row>
    <row r="794" spans="2:30" s="18" customFormat="1" x14ac:dyDescent="0.25">
      <c r="B794" s="54">
        <v>3</v>
      </c>
      <c r="I794" s="18" t="s">
        <v>1491</v>
      </c>
      <c r="L794" s="18" t="s">
        <v>1492</v>
      </c>
      <c r="M794" s="19">
        <f t="shared" si="51"/>
        <v>44</v>
      </c>
      <c r="AD794" s="53" t="s">
        <v>1373</v>
      </c>
    </row>
    <row r="795" spans="2:30" s="15" customFormat="1" x14ac:dyDescent="0.25">
      <c r="B795" s="16">
        <v>2</v>
      </c>
      <c r="H795" s="15" t="s">
        <v>1493</v>
      </c>
      <c r="L795" s="15" t="s">
        <v>1494</v>
      </c>
      <c r="M795" s="16">
        <f t="shared" si="51"/>
        <v>33</v>
      </c>
      <c r="AD795" s="56" t="s">
        <v>1373</v>
      </c>
    </row>
    <row r="796" spans="2:30" s="18" customFormat="1" x14ac:dyDescent="0.25">
      <c r="B796" s="54">
        <v>3</v>
      </c>
      <c r="I796" s="18" t="s">
        <v>1495</v>
      </c>
      <c r="L796" s="18" t="s">
        <v>1496</v>
      </c>
      <c r="M796" s="19">
        <f t="shared" si="51"/>
        <v>40</v>
      </c>
      <c r="AD796" s="53" t="s">
        <v>1373</v>
      </c>
    </row>
    <row r="797" spans="2:30" s="18" customFormat="1" x14ac:dyDescent="0.25">
      <c r="B797" s="54">
        <v>3</v>
      </c>
      <c r="I797" s="18" t="s">
        <v>1497</v>
      </c>
      <c r="L797" s="18" t="s">
        <v>1498</v>
      </c>
      <c r="M797" s="19">
        <f t="shared" si="51"/>
        <v>45</v>
      </c>
      <c r="AD797" s="53" t="s">
        <v>1373</v>
      </c>
    </row>
    <row r="798" spans="2:30" s="15" customFormat="1" x14ac:dyDescent="0.25">
      <c r="B798" s="16">
        <v>2</v>
      </c>
      <c r="H798" s="15" t="s">
        <v>286</v>
      </c>
      <c r="L798" s="15" t="s">
        <v>1499</v>
      </c>
      <c r="M798" s="16">
        <f t="shared" si="51"/>
        <v>33</v>
      </c>
      <c r="AD798" s="56" t="s">
        <v>1373</v>
      </c>
    </row>
    <row r="799" spans="2:30" s="18" customFormat="1" x14ac:dyDescent="0.25">
      <c r="B799" s="54">
        <v>3</v>
      </c>
      <c r="I799" s="18" t="s">
        <v>1398</v>
      </c>
      <c r="L799" s="18" t="s">
        <v>1500</v>
      </c>
      <c r="M799" s="19">
        <f t="shared" si="51"/>
        <v>40</v>
      </c>
      <c r="AD799" s="53" t="s">
        <v>1373</v>
      </c>
    </row>
    <row r="800" spans="2:30" s="18" customFormat="1" x14ac:dyDescent="0.25">
      <c r="B800" s="54">
        <v>3</v>
      </c>
      <c r="I800" s="18" t="s">
        <v>1412</v>
      </c>
      <c r="L800" s="18" t="s">
        <v>1501</v>
      </c>
      <c r="M800" s="19">
        <f t="shared" si="51"/>
        <v>44</v>
      </c>
      <c r="AD800" s="53" t="s">
        <v>1373</v>
      </c>
    </row>
    <row r="801" spans="2:30" s="15" customFormat="1" x14ac:dyDescent="0.25">
      <c r="B801" s="16">
        <v>2</v>
      </c>
      <c r="H801" s="15" t="s">
        <v>1502</v>
      </c>
      <c r="L801" s="15" t="s">
        <v>1503</v>
      </c>
      <c r="M801" s="16">
        <f t="shared" si="51"/>
        <v>33</v>
      </c>
      <c r="AD801" s="56" t="s">
        <v>1373</v>
      </c>
    </row>
    <row r="802" spans="2:30" s="18" customFormat="1" x14ac:dyDescent="0.25">
      <c r="B802" s="54">
        <v>3</v>
      </c>
      <c r="I802" s="18" t="s">
        <v>1504</v>
      </c>
      <c r="L802" s="18" t="s">
        <v>1505</v>
      </c>
      <c r="M802" s="19">
        <f t="shared" si="51"/>
        <v>40</v>
      </c>
      <c r="AD802" s="53" t="s">
        <v>1373</v>
      </c>
    </row>
    <row r="803" spans="2:30" s="18" customFormat="1" x14ac:dyDescent="0.25">
      <c r="B803" s="54">
        <v>3</v>
      </c>
      <c r="I803" s="18" t="s">
        <v>1506</v>
      </c>
      <c r="L803" s="18" t="s">
        <v>1507</v>
      </c>
      <c r="M803" s="19">
        <f t="shared" si="51"/>
        <v>45</v>
      </c>
      <c r="AD803" s="53" t="s">
        <v>1373</v>
      </c>
    </row>
    <row r="804" spans="2:31" s="13" customFormat="1" x14ac:dyDescent="0.25">
      <c r="B804" s="14">
        <v>1</v>
      </c>
      <c r="C804" s="13">
        <v>5001</v>
      </c>
      <c r="D804" s="14" t="s">
        <v>31</v>
      </c>
      <c r="E804" s="14" t="s">
        <v>32</v>
      </c>
      <c r="F804" s="14" t="s">
        <v>34</v>
      </c>
      <c r="G804" s="35" t="s">
        <v>1508</v>
      </c>
      <c r="H804" s="35"/>
      <c r="I804" s="35"/>
      <c r="J804" s="13" t="str">
        <f>(C804)&amp;"-"&amp;(D804)&amp;"-"&amp;(E804)&amp;"-"&amp;(F804)&amp;"-"&amp;(G804)</f>
        <v>5001-PM03-BR-BR1-35-25-034</v>
      </c>
      <c r="K804" s="14">
        <f>LEN(J804)</f>
        <v>26</v>
      </c>
      <c r="L804" s="35" t="s">
        <v>1509</v>
      </c>
      <c r="M804" s="14">
        <f t="shared" si="51"/>
        <v>40</v>
      </c>
      <c r="AD804" s="36" t="s">
        <v>35</v>
      </c>
      <c r="AE804" s="14"/>
    </row>
    <row r="805" spans="2:31" s="13" customFormat="1" x14ac:dyDescent="0.25">
      <c r="B805" s="14">
        <v>1</v>
      </c>
      <c r="C805" s="13">
        <v>5001</v>
      </c>
      <c r="D805" s="14" t="s">
        <v>31</v>
      </c>
      <c r="E805" s="14" t="s">
        <v>32</v>
      </c>
      <c r="F805" s="14" t="s">
        <v>34</v>
      </c>
      <c r="G805" s="35" t="s">
        <v>1148</v>
      </c>
      <c r="H805" s="35"/>
      <c r="I805" s="35"/>
      <c r="J805" s="13" t="str">
        <f>(C805)&amp;"-"&amp;(D805)&amp;"-"&amp;(E805)&amp;"-"&amp;(F805)&amp;"-"&amp;(G805)</f>
        <v>5001-PM03-BR-BR1-35-24-109</v>
      </c>
      <c r="K805" s="14">
        <f>LEN(J805)</f>
        <v>26</v>
      </c>
      <c r="L805" s="35" t="s">
        <v>1510</v>
      </c>
      <c r="M805" s="14">
        <f t="shared" si="51"/>
        <v>38</v>
      </c>
      <c r="AD805" s="36" t="s">
        <v>35</v>
      </c>
      <c r="AE805" s="14"/>
    </row>
    <row r="806" spans="2:31" s="15" customFormat="1" x14ac:dyDescent="0.25">
      <c r="B806" s="16">
        <v>2</v>
      </c>
      <c r="D806" s="17"/>
      <c r="E806" s="17"/>
      <c r="F806" s="17"/>
      <c r="G806" s="22"/>
      <c r="H806" s="15" t="s">
        <v>1511</v>
      </c>
      <c r="I806" s="22"/>
      <c r="J806" s="22"/>
      <c r="K806" s="22"/>
      <c r="L806" s="15" t="s">
        <v>1512</v>
      </c>
      <c r="M806" s="16">
        <f t="shared" si="51"/>
        <v>37</v>
      </c>
      <c r="AD806" s="37"/>
      <c r="AE806" s="16"/>
    </row>
    <row r="807" spans="2:30" s="18" customFormat="1" x14ac:dyDescent="0.25">
      <c r="B807" s="19">
        <v>3</v>
      </c>
      <c r="I807" s="18" t="s">
        <v>1513</v>
      </c>
      <c r="L807" s="18" t="s">
        <v>1514</v>
      </c>
      <c r="M807" s="19">
        <f t="shared" si="51"/>
        <v>29</v>
      </c>
      <c r="AD807" s="18" t="s">
        <v>35</v>
      </c>
    </row>
    <row r="808" spans="2:30" s="15" customFormat="1" x14ac:dyDescent="0.25">
      <c r="B808" s="16">
        <v>2</v>
      </c>
      <c r="H808" s="15" t="s">
        <v>433</v>
      </c>
      <c r="L808" s="15" t="s">
        <v>1515</v>
      </c>
      <c r="M808" s="16">
        <f t="shared" si="51"/>
        <v>37</v>
      </c>
      <c r="AD808" s="37" t="s">
        <v>35</v>
      </c>
    </row>
    <row r="809" spans="2:30" s="18" customFormat="1" x14ac:dyDescent="0.25">
      <c r="B809" s="19">
        <v>3</v>
      </c>
      <c r="I809" s="18" t="s">
        <v>1516</v>
      </c>
      <c r="L809" s="18" t="s">
        <v>1517</v>
      </c>
      <c r="M809" s="19">
        <f t="shared" si="51"/>
        <v>25</v>
      </c>
      <c r="AD809" s="53" t="s">
        <v>1373</v>
      </c>
    </row>
    <row r="810" spans="2:30" s="18" customFormat="1" x14ac:dyDescent="0.25">
      <c r="B810" s="19">
        <v>3</v>
      </c>
      <c r="I810" s="18" t="s">
        <v>1518</v>
      </c>
      <c r="L810" s="18" t="s">
        <v>1519</v>
      </c>
      <c r="M810" s="19">
        <f t="shared" si="51"/>
        <v>46</v>
      </c>
      <c r="AD810" s="53" t="s">
        <v>1373</v>
      </c>
    </row>
    <row r="811" spans="2:30" s="15" customFormat="1" x14ac:dyDescent="0.25">
      <c r="B811" s="16">
        <v>2</v>
      </c>
      <c r="H811" s="15" t="s">
        <v>1416</v>
      </c>
      <c r="L811" s="15" t="s">
        <v>1520</v>
      </c>
      <c r="M811" s="16">
        <f>LEN(L811)</f>
        <v>37</v>
      </c>
      <c r="AD811" s="37" t="s">
        <v>35</v>
      </c>
    </row>
    <row r="812" ht="105" customHeight="1" spans="2:30" s="18" customFormat="1" x14ac:dyDescent="0.25">
      <c r="B812" s="19">
        <v>3</v>
      </c>
      <c r="I812" s="18" t="s">
        <v>702</v>
      </c>
      <c r="L812" s="26" t="s">
        <v>1521</v>
      </c>
      <c r="M812" s="19">
        <f t="shared" si="51"/>
        <v>45</v>
      </c>
      <c r="AD812" s="53" t="s">
        <v>1373</v>
      </c>
    </row>
    <row r="813" ht="120" customHeight="1" spans="2:30" s="18" customFormat="1" x14ac:dyDescent="0.25">
      <c r="B813" s="19">
        <v>3</v>
      </c>
      <c r="I813" s="18" t="s">
        <v>704</v>
      </c>
      <c r="L813" s="26" t="s">
        <v>1522</v>
      </c>
      <c r="M813" s="19">
        <f t="shared" si="51"/>
        <v>46</v>
      </c>
      <c r="AD813" s="53" t="s">
        <v>1373</v>
      </c>
    </row>
    <row r="814" spans="2:30" s="15" customFormat="1" x14ac:dyDescent="0.25">
      <c r="B814" s="16">
        <v>2</v>
      </c>
      <c r="H814" s="15" t="s">
        <v>1486</v>
      </c>
      <c r="L814" s="15" t="s">
        <v>1523</v>
      </c>
      <c r="M814" s="16">
        <f>LEN(L814)</f>
        <v>37</v>
      </c>
      <c r="AD814" s="37" t="s">
        <v>35</v>
      </c>
    </row>
    <row r="815" spans="2:30" s="18" customFormat="1" x14ac:dyDescent="0.25">
      <c r="B815" s="19">
        <v>3</v>
      </c>
      <c r="I815" s="18" t="s">
        <v>1524</v>
      </c>
      <c r="L815" s="18" t="s">
        <v>1525</v>
      </c>
      <c r="M815" s="19">
        <f t="shared" si="51"/>
        <v>46</v>
      </c>
      <c r="AD815" s="53" t="s">
        <v>1373</v>
      </c>
    </row>
    <row r="816" spans="2:30" s="18" customFormat="1" x14ac:dyDescent="0.25">
      <c r="B816" s="19">
        <v>3</v>
      </c>
      <c r="I816" s="18" t="s">
        <v>1526</v>
      </c>
      <c r="L816" s="18" t="s">
        <v>1527</v>
      </c>
      <c r="M816" s="19">
        <f t="shared" si="51"/>
        <v>42</v>
      </c>
      <c r="AD816" s="53" t="s">
        <v>1373</v>
      </c>
    </row>
    <row r="817" spans="2:31" s="13" customFormat="1" x14ac:dyDescent="0.25">
      <c r="B817" s="14">
        <v>1</v>
      </c>
      <c r="C817" s="13">
        <v>5001</v>
      </c>
      <c r="D817" s="14" t="s">
        <v>31</v>
      </c>
      <c r="E817" s="14" t="s">
        <v>32</v>
      </c>
      <c r="F817" s="14" t="s">
        <v>34</v>
      </c>
      <c r="G817" s="35" t="s">
        <v>1157</v>
      </c>
      <c r="H817" s="35"/>
      <c r="I817" s="35"/>
      <c r="J817" s="13" t="str">
        <f>(C817)&amp;"-"&amp;(D817)&amp;"-"&amp;(E817)&amp;"-"&amp;(F817)&amp;"-"&amp;(G817)</f>
        <v>5001-PM03-BR-BR1-35-24-106</v>
      </c>
      <c r="K817" s="14">
        <f>LEN(J817)</f>
        <v>26</v>
      </c>
      <c r="L817" s="35" t="s">
        <v>1528</v>
      </c>
      <c r="M817" s="14">
        <f>LEN(L817)</f>
        <v>38</v>
      </c>
      <c r="AD817" s="36" t="s">
        <v>35</v>
      </c>
      <c r="AE817" s="14"/>
    </row>
    <row r="818" spans="2:31" s="15" customFormat="1" x14ac:dyDescent="0.25">
      <c r="B818" s="16">
        <v>2</v>
      </c>
      <c r="D818" s="17"/>
      <c r="E818" s="17"/>
      <c r="F818" s="17"/>
      <c r="G818" s="22"/>
      <c r="H818" s="15" t="s">
        <v>1529</v>
      </c>
      <c r="I818" s="22"/>
      <c r="J818" s="22"/>
      <c r="K818" s="22"/>
      <c r="L818" s="15" t="s">
        <v>1530</v>
      </c>
      <c r="M818" s="16">
        <f>LEN(L818)</f>
        <v>37</v>
      </c>
      <c r="AD818" s="37"/>
      <c r="AE818" s="16"/>
    </row>
    <row r="819" spans="2:31" s="18" customFormat="1" x14ac:dyDescent="0.25">
      <c r="B819" s="19">
        <v>3</v>
      </c>
      <c r="I819" s="18" t="s">
        <v>1447</v>
      </c>
      <c r="L819" s="18" t="s">
        <v>1531</v>
      </c>
      <c r="M819" s="19">
        <f t="shared" si="51"/>
        <v>29</v>
      </c>
      <c r="AD819" s="53" t="s">
        <v>1373</v>
      </c>
      <c r="AE819" s="19"/>
    </row>
    <row r="820" spans="2:30" s="15" customFormat="1" x14ac:dyDescent="0.25">
      <c r="B820" s="16">
        <v>2</v>
      </c>
      <c r="H820" s="15" t="s">
        <v>395</v>
      </c>
      <c r="L820" s="15" t="s">
        <v>1532</v>
      </c>
      <c r="M820" s="16">
        <f t="shared" si="51"/>
        <v>32</v>
      </c>
      <c r="AD820" s="56" t="s">
        <v>1373</v>
      </c>
    </row>
    <row r="821" spans="2:30" s="18" customFormat="1" x14ac:dyDescent="0.25">
      <c r="B821" s="19">
        <v>3</v>
      </c>
      <c r="I821" s="18" t="s">
        <v>1533</v>
      </c>
      <c r="L821" s="18" t="s">
        <v>1534</v>
      </c>
      <c r="M821" s="19">
        <f t="shared" si="51"/>
        <v>31</v>
      </c>
      <c r="AD821" s="53" t="s">
        <v>1373</v>
      </c>
    </row>
    <row r="822" spans="2:30" s="18" customFormat="1" x14ac:dyDescent="0.25">
      <c r="B822" s="19">
        <v>3</v>
      </c>
      <c r="I822" s="18" t="s">
        <v>1535</v>
      </c>
      <c r="L822" s="18" t="s">
        <v>1536</v>
      </c>
      <c r="M822" s="19">
        <f t="shared" si="51"/>
        <v>33</v>
      </c>
      <c r="AD822" s="53" t="s">
        <v>1373</v>
      </c>
    </row>
    <row r="823" spans="2:30" s="15" customFormat="1" x14ac:dyDescent="0.25">
      <c r="B823" s="16">
        <v>2</v>
      </c>
      <c r="H823" s="15" t="s">
        <v>420</v>
      </c>
      <c r="L823" s="15" t="s">
        <v>1537</v>
      </c>
      <c r="M823" s="16">
        <f t="shared" si="51"/>
        <v>32</v>
      </c>
      <c r="AD823" s="56" t="s">
        <v>1373</v>
      </c>
    </row>
    <row r="824" spans="2:30" s="18" customFormat="1" x14ac:dyDescent="0.25">
      <c r="B824" s="19">
        <v>3</v>
      </c>
      <c r="I824" s="18" t="s">
        <v>1538</v>
      </c>
      <c r="L824" s="18" t="s">
        <v>1539</v>
      </c>
      <c r="M824" s="19">
        <f t="shared" si="51"/>
        <v>25</v>
      </c>
      <c r="AD824" s="53" t="s">
        <v>1373</v>
      </c>
    </row>
    <row r="825" spans="2:30" s="18" customFormat="1" x14ac:dyDescent="0.25">
      <c r="B825" s="19">
        <v>3</v>
      </c>
      <c r="I825" s="18" t="s">
        <v>1540</v>
      </c>
      <c r="L825" s="18" t="s">
        <v>1541</v>
      </c>
      <c r="M825" s="19">
        <f t="shared" si="51"/>
        <v>24</v>
      </c>
      <c r="AD825" s="53" t="s">
        <v>1373</v>
      </c>
    </row>
    <row r="826" spans="2:30" s="15" customFormat="1" x14ac:dyDescent="0.25">
      <c r="B826" s="16">
        <v>2</v>
      </c>
      <c r="H826" s="15" t="s">
        <v>1491</v>
      </c>
      <c r="L826" s="15" t="s">
        <v>1537</v>
      </c>
      <c r="M826" s="16">
        <f t="shared" si="51"/>
        <v>32</v>
      </c>
      <c r="AD826" s="56" t="s">
        <v>1373</v>
      </c>
    </row>
    <row r="827" spans="2:30" s="18" customFormat="1" x14ac:dyDescent="0.25">
      <c r="B827" s="19">
        <v>3</v>
      </c>
      <c r="I827" s="18" t="s">
        <v>1542</v>
      </c>
      <c r="L827" s="18" t="s">
        <v>1543</v>
      </c>
      <c r="M827" s="19">
        <f t="shared" si="51"/>
        <v>31</v>
      </c>
      <c r="AD827" s="53"/>
    </row>
    <row r="828" spans="2:30" s="18" customFormat="1" x14ac:dyDescent="0.25">
      <c r="B828" s="19">
        <v>3</v>
      </c>
      <c r="I828" s="18" t="s">
        <v>614</v>
      </c>
      <c r="L828" s="18" t="s">
        <v>1544</v>
      </c>
      <c r="M828" s="19">
        <f t="shared" si="51"/>
        <v>35</v>
      </c>
      <c r="AD828" s="53" t="s">
        <v>1373</v>
      </c>
    </row>
    <row r="829" spans="2:30" s="18" customFormat="1" x14ac:dyDescent="0.25">
      <c r="B829" s="19">
        <v>3</v>
      </c>
      <c r="I829" s="18" t="s">
        <v>616</v>
      </c>
      <c r="L829" s="18" t="s">
        <v>1545</v>
      </c>
      <c r="M829" s="19">
        <f t="shared" si="51"/>
        <v>36</v>
      </c>
      <c r="AD829" s="53" t="s">
        <v>1373</v>
      </c>
    </row>
    <row r="830" spans="2:30" s="15" customFormat="1" x14ac:dyDescent="0.25">
      <c r="B830" s="16">
        <v>2</v>
      </c>
      <c r="H830" s="15" t="s">
        <v>1177</v>
      </c>
      <c r="L830" s="15" t="s">
        <v>1546</v>
      </c>
      <c r="M830" s="16">
        <f t="shared" si="51"/>
        <v>32</v>
      </c>
      <c r="AD830" s="56" t="s">
        <v>1373</v>
      </c>
    </row>
    <row r="831" spans="2:30" s="18" customFormat="1" x14ac:dyDescent="0.25">
      <c r="B831" s="19">
        <v>3</v>
      </c>
      <c r="I831" s="18" t="s">
        <v>1547</v>
      </c>
      <c r="L831" s="18" t="s">
        <v>1548</v>
      </c>
      <c r="M831" s="19">
        <f t="shared" si="51"/>
        <v>31</v>
      </c>
      <c r="AD831" s="53" t="s">
        <v>1373</v>
      </c>
    </row>
    <row r="832" spans="2:30" s="18" customFormat="1" x14ac:dyDescent="0.25">
      <c r="B832" s="19">
        <v>3</v>
      </c>
      <c r="I832" s="18" t="s">
        <v>610</v>
      </c>
      <c r="L832" s="18" t="s">
        <v>1549</v>
      </c>
      <c r="M832" s="19">
        <f t="shared" si="51"/>
        <v>35</v>
      </c>
      <c r="AD832" s="53" t="s">
        <v>1373</v>
      </c>
    </row>
    <row r="833" spans="2:30" s="18" customFormat="1" x14ac:dyDescent="0.25">
      <c r="B833" s="19">
        <v>3</v>
      </c>
      <c r="I833" s="18" t="s">
        <v>612</v>
      </c>
      <c r="L833" s="18" t="s">
        <v>1550</v>
      </c>
      <c r="M833" s="19">
        <f t="shared" si="51"/>
        <v>36</v>
      </c>
      <c r="AD833" s="53" t="s">
        <v>1373</v>
      </c>
    </row>
    <row r="834" spans="2:30" s="15" customFormat="1" x14ac:dyDescent="0.25">
      <c r="B834" s="16">
        <v>2</v>
      </c>
      <c r="H834" s="15" t="s">
        <v>138</v>
      </c>
      <c r="L834" s="15" t="s">
        <v>1551</v>
      </c>
      <c r="M834" s="16">
        <f t="shared" si="51"/>
        <v>32</v>
      </c>
      <c r="AD834" s="56" t="s">
        <v>1373</v>
      </c>
    </row>
    <row r="835" spans="2:30" s="18" customFormat="1" x14ac:dyDescent="0.25">
      <c r="B835" s="19">
        <v>3</v>
      </c>
      <c r="I835" s="18" t="s">
        <v>1552</v>
      </c>
      <c r="L835" s="18" t="s">
        <v>1553</v>
      </c>
      <c r="M835" s="19">
        <f t="shared" si="51"/>
        <v>31</v>
      </c>
      <c r="AD835" s="53" t="s">
        <v>1373</v>
      </c>
    </row>
    <row r="836" spans="2:30" s="18" customFormat="1" x14ac:dyDescent="0.25">
      <c r="B836" s="19">
        <v>3</v>
      </c>
      <c r="I836" s="18" t="s">
        <v>618</v>
      </c>
      <c r="L836" s="18" t="s">
        <v>1554</v>
      </c>
      <c r="M836" s="19">
        <f t="shared" si="51"/>
        <v>35</v>
      </c>
      <c r="AD836" s="53" t="s">
        <v>1373</v>
      </c>
    </row>
    <row r="837" spans="2:30" s="18" customFormat="1" x14ac:dyDescent="0.25">
      <c r="B837" s="19">
        <v>3</v>
      </c>
      <c r="I837" s="18" t="s">
        <v>620</v>
      </c>
      <c r="L837" s="18" t="s">
        <v>1555</v>
      </c>
      <c r="M837" s="19">
        <f t="shared" si="51"/>
        <v>36</v>
      </c>
      <c r="AD837" s="53" t="s">
        <v>1373</v>
      </c>
    </row>
    <row r="838" spans="2:31" s="13" customFormat="1" x14ac:dyDescent="0.25">
      <c r="B838" s="14">
        <v>1</v>
      </c>
      <c r="C838" s="13">
        <v>5001</v>
      </c>
      <c r="D838" s="14" t="s">
        <v>31</v>
      </c>
      <c r="E838" s="14" t="s">
        <v>32</v>
      </c>
      <c r="F838" s="14" t="s">
        <v>34</v>
      </c>
      <c r="G838" s="35" t="s">
        <v>1556</v>
      </c>
      <c r="H838" s="35"/>
      <c r="I838" s="35"/>
      <c r="J838" s="13" t="str">
        <f>(C838)&amp;"-"&amp;(D838)&amp;"-"&amp;(E838)&amp;"-"&amp;(F838)&amp;"-"&amp;(G838)</f>
        <v>5001-PM03-BR-BR1-35-24-087</v>
      </c>
      <c r="K838" s="14">
        <f>LEN(J838)</f>
        <v>26</v>
      </c>
      <c r="L838" s="35" t="s">
        <v>1557</v>
      </c>
      <c r="M838" s="14">
        <f>LEN(L838)</f>
        <v>41</v>
      </c>
      <c r="AD838" s="36" t="s">
        <v>35</v>
      </c>
      <c r="AE838" s="14"/>
    </row>
    <row r="839" spans="2:30" s="15" customFormat="1" x14ac:dyDescent="0.25">
      <c r="B839" s="16">
        <v>2</v>
      </c>
      <c r="H839" s="15" t="s">
        <v>1558</v>
      </c>
      <c r="L839" s="15" t="s">
        <v>1559</v>
      </c>
      <c r="M839" s="16">
        <f t="shared" ref="M839:M904" si="52">LEN(L839)</f>
        <v>38</v>
      </c>
      <c r="AD839" s="56" t="s">
        <v>1373</v>
      </c>
    </row>
    <row r="840" spans="2:30" s="18" customFormat="1" x14ac:dyDescent="0.25">
      <c r="B840" s="19">
        <v>3</v>
      </c>
      <c r="I840" s="18" t="s">
        <v>1560</v>
      </c>
      <c r="L840" s="18" t="s">
        <v>1561</v>
      </c>
      <c r="M840" s="19">
        <f t="shared" si="52"/>
        <v>29</v>
      </c>
      <c r="AD840" s="53" t="s">
        <v>1373</v>
      </c>
    </row>
    <row r="841" spans="2:30" s="15" customFormat="1" x14ac:dyDescent="0.25">
      <c r="B841" s="16">
        <v>2</v>
      </c>
      <c r="H841" s="15" t="s">
        <v>542</v>
      </c>
      <c r="L841" s="15" t="s">
        <v>1562</v>
      </c>
      <c r="M841" s="16">
        <f t="shared" si="52"/>
        <v>38</v>
      </c>
      <c r="AD841" s="56" t="s">
        <v>1373</v>
      </c>
    </row>
    <row r="842" spans="2:30" s="18" customFormat="1" x14ac:dyDescent="0.25">
      <c r="B842" s="19">
        <v>3</v>
      </c>
      <c r="I842" s="18" t="s">
        <v>1563</v>
      </c>
      <c r="L842" s="18" t="s">
        <v>1564</v>
      </c>
      <c r="M842" s="19">
        <f t="shared" si="52"/>
        <v>31</v>
      </c>
      <c r="AD842" s="53" t="s">
        <v>1373</v>
      </c>
    </row>
    <row r="843" spans="2:30" s="18" customFormat="1" x14ac:dyDescent="0.25">
      <c r="B843" s="19">
        <v>3</v>
      </c>
      <c r="I843" s="18" t="s">
        <v>463</v>
      </c>
      <c r="L843" s="18" t="s">
        <v>1565</v>
      </c>
      <c r="M843" s="19">
        <f t="shared" si="52"/>
        <v>30</v>
      </c>
      <c r="AD843" s="53" t="s">
        <v>1373</v>
      </c>
    </row>
    <row r="844" spans="2:30" s="18" customFormat="1" x14ac:dyDescent="0.25">
      <c r="B844" s="19">
        <v>3</v>
      </c>
      <c r="I844" s="18" t="s">
        <v>465</v>
      </c>
      <c r="L844" s="18" t="s">
        <v>1566</v>
      </c>
      <c r="M844" s="19">
        <f t="shared" si="52"/>
        <v>37</v>
      </c>
      <c r="AD844" s="53" t="s">
        <v>1373</v>
      </c>
    </row>
    <row r="845" spans="2:30" s="15" customFormat="1" x14ac:dyDescent="0.25">
      <c r="B845" s="16">
        <v>2</v>
      </c>
      <c r="H845" s="15" t="s">
        <v>1197</v>
      </c>
      <c r="L845" s="15" t="s">
        <v>1567</v>
      </c>
      <c r="M845" s="16">
        <f t="shared" si="52"/>
        <v>38</v>
      </c>
      <c r="AD845" s="56" t="s">
        <v>1373</v>
      </c>
    </row>
    <row r="846" spans="2:30" s="18" customFormat="1" x14ac:dyDescent="0.25">
      <c r="B846" s="19">
        <v>3</v>
      </c>
      <c r="I846" s="18" t="s">
        <v>1568</v>
      </c>
      <c r="L846" s="18" t="s">
        <v>1569</v>
      </c>
      <c r="M846" s="19">
        <f t="shared" si="52"/>
        <v>31</v>
      </c>
      <c r="AD846" s="53" t="s">
        <v>1373</v>
      </c>
    </row>
    <row r="847" spans="2:30" s="18" customFormat="1" x14ac:dyDescent="0.25">
      <c r="B847" s="19">
        <v>3</v>
      </c>
      <c r="I847" s="18" t="s">
        <v>1570</v>
      </c>
      <c r="L847" s="18" t="s">
        <v>1571</v>
      </c>
      <c r="M847" s="19">
        <f t="shared" si="52"/>
        <v>30</v>
      </c>
      <c r="AD847" s="53" t="s">
        <v>1373</v>
      </c>
    </row>
    <row r="848" spans="2:30" s="18" customFormat="1" x14ac:dyDescent="0.25">
      <c r="B848" s="19">
        <v>3</v>
      </c>
      <c r="I848" s="18" t="s">
        <v>1572</v>
      </c>
      <c r="L848" s="18" t="s">
        <v>1573</v>
      </c>
      <c r="M848" s="19">
        <f t="shared" si="52"/>
        <v>37</v>
      </c>
      <c r="AD848" s="53" t="s">
        <v>1373</v>
      </c>
    </row>
    <row r="849" spans="2:30" s="15" customFormat="1" x14ac:dyDescent="0.25">
      <c r="B849" s="16">
        <v>2</v>
      </c>
      <c r="H849" s="15" t="s">
        <v>1529</v>
      </c>
      <c r="L849" s="15" t="s">
        <v>1574</v>
      </c>
      <c r="M849" s="16">
        <f t="shared" si="52"/>
        <v>38</v>
      </c>
      <c r="AD849" s="56" t="s">
        <v>1373</v>
      </c>
    </row>
    <row r="850" spans="2:30" s="18" customFormat="1" x14ac:dyDescent="0.25">
      <c r="B850" s="19">
        <v>3</v>
      </c>
      <c r="I850" s="18" t="s">
        <v>1575</v>
      </c>
      <c r="L850" s="18" t="s">
        <v>1576</v>
      </c>
      <c r="M850" s="19">
        <f>LEN(L850)</f>
        <v>32</v>
      </c>
      <c r="AD850" s="53" t="s">
        <v>1373</v>
      </c>
    </row>
    <row r="851" spans="2:30" s="18" customFormat="1" x14ac:dyDescent="0.25">
      <c r="B851" s="19">
        <v>3</v>
      </c>
      <c r="I851" s="18" t="s">
        <v>1577</v>
      </c>
      <c r="L851" s="18" t="s">
        <v>1578</v>
      </c>
      <c r="M851" s="19">
        <f>LEN(L851)</f>
        <v>35</v>
      </c>
      <c r="AD851" s="53" t="s">
        <v>1373</v>
      </c>
    </row>
    <row r="852" spans="2:30" s="15" customFormat="1" x14ac:dyDescent="0.25">
      <c r="B852" s="16">
        <v>2</v>
      </c>
      <c r="H852" s="15" t="s">
        <v>1513</v>
      </c>
      <c r="L852" s="15" t="s">
        <v>1579</v>
      </c>
      <c r="M852" s="16">
        <f t="shared" ref="M852" si="53">LEN(L852)</f>
        <v>38</v>
      </c>
      <c r="AD852" s="56" t="s">
        <v>1373</v>
      </c>
    </row>
    <row r="853" spans="2:30" s="18" customFormat="1" x14ac:dyDescent="0.25">
      <c r="B853" s="19">
        <v>3</v>
      </c>
      <c r="I853" s="18" t="s">
        <v>1580</v>
      </c>
      <c r="L853" s="18" t="s">
        <v>1581</v>
      </c>
      <c r="M853" s="19">
        <f>LEN(L854)</f>
        <v>30</v>
      </c>
      <c r="AD853" s="53" t="s">
        <v>1373</v>
      </c>
    </row>
    <row r="854" spans="2:30" s="18" customFormat="1" x14ac:dyDescent="0.25">
      <c r="B854" s="19">
        <v>3</v>
      </c>
      <c r="I854" s="18" t="s">
        <v>455</v>
      </c>
      <c r="L854" s="18" t="s">
        <v>1582</v>
      </c>
      <c r="M854" s="19">
        <f>LEN(L854)</f>
        <v>30</v>
      </c>
      <c r="AD854" s="53" t="s">
        <v>1373</v>
      </c>
    </row>
    <row r="855" spans="2:30" s="18" customFormat="1" x14ac:dyDescent="0.25">
      <c r="B855" s="19">
        <v>3</v>
      </c>
      <c r="I855" s="18" t="s">
        <v>457</v>
      </c>
      <c r="L855" s="18" t="s">
        <v>1583</v>
      </c>
      <c r="M855" s="19">
        <f t="shared" si="52"/>
        <v>37</v>
      </c>
      <c r="AD855" s="53" t="s">
        <v>1373</v>
      </c>
    </row>
    <row r="856" spans="2:30" s="15" customFormat="1" x14ac:dyDescent="0.25">
      <c r="B856" s="16">
        <v>2</v>
      </c>
      <c r="H856" s="15" t="s">
        <v>1467</v>
      </c>
      <c r="L856" s="15" t="s">
        <v>1584</v>
      </c>
      <c r="M856" s="16">
        <f t="shared" si="52"/>
        <v>38</v>
      </c>
      <c r="AD856" s="56" t="s">
        <v>1373</v>
      </c>
    </row>
    <row r="857" spans="2:30" s="18" customFormat="1" x14ac:dyDescent="0.25">
      <c r="B857" s="19">
        <v>3</v>
      </c>
      <c r="I857" s="18" t="s">
        <v>1585</v>
      </c>
      <c r="L857" s="18" t="s">
        <v>1586</v>
      </c>
      <c r="M857" s="19">
        <f t="shared" si="52"/>
        <v>37</v>
      </c>
      <c r="AD857" s="53" t="s">
        <v>1373</v>
      </c>
    </row>
    <row r="858" spans="2:30" s="18" customFormat="1" x14ac:dyDescent="0.25">
      <c r="B858" s="19">
        <v>3</v>
      </c>
      <c r="I858" s="18" t="s">
        <v>1587</v>
      </c>
      <c r="L858" s="18" t="s">
        <v>1588</v>
      </c>
      <c r="M858" s="19">
        <f t="shared" si="52"/>
        <v>34</v>
      </c>
      <c r="AD858" s="53" t="s">
        <v>1373</v>
      </c>
    </row>
    <row r="859" spans="2:31" s="13" customFormat="1" x14ac:dyDescent="0.25">
      <c r="B859" s="14">
        <v>1</v>
      </c>
      <c r="C859" s="13">
        <v>5001</v>
      </c>
      <c r="D859" s="14" t="s">
        <v>31</v>
      </c>
      <c r="E859" s="14" t="s">
        <v>32</v>
      </c>
      <c r="F859" s="14" t="s">
        <v>34</v>
      </c>
      <c r="G859" s="35" t="s">
        <v>665</v>
      </c>
      <c r="H859" s="35"/>
      <c r="I859" s="35"/>
      <c r="J859" s="13" t="str">
        <f>(C859)&amp;"-"&amp;(D859)&amp;"-"&amp;(E859)&amp;"-"&amp;(F859)&amp;"-"&amp;(G859)</f>
        <v>5001-PM03-BR-BR1-35-24-063</v>
      </c>
      <c r="K859" s="14">
        <f>LEN(J859)</f>
        <v>26</v>
      </c>
      <c r="L859" s="35" t="s">
        <v>1589</v>
      </c>
      <c r="M859" s="14">
        <f>LEN(L859)</f>
        <v>35</v>
      </c>
      <c r="AD859" s="36" t="s">
        <v>35</v>
      </c>
      <c r="AE859" s="14"/>
    </row>
    <row r="860" spans="2:30" s="15" customFormat="1" x14ac:dyDescent="0.25">
      <c r="B860" s="16">
        <v>2</v>
      </c>
      <c r="H860" s="15" t="s">
        <v>1590</v>
      </c>
      <c r="L860" s="15" t="s">
        <v>1591</v>
      </c>
      <c r="M860" s="16">
        <f t="shared" si="52"/>
        <v>44</v>
      </c>
      <c r="AD860" s="56" t="s">
        <v>1373</v>
      </c>
    </row>
    <row r="861" spans="2:30" s="18" customFormat="1" x14ac:dyDescent="0.25">
      <c r="B861" s="19">
        <v>3</v>
      </c>
      <c r="I861" s="18" t="s">
        <v>1592</v>
      </c>
      <c r="L861" s="18" t="s">
        <v>1593</v>
      </c>
      <c r="M861" s="19">
        <f t="shared" si="52"/>
        <v>39</v>
      </c>
      <c r="AD861" s="53" t="s">
        <v>1373</v>
      </c>
    </row>
    <row r="862" spans="2:30" s="18" customFormat="1" x14ac:dyDescent="0.25">
      <c r="B862" s="19">
        <v>3</v>
      </c>
      <c r="I862" s="18" t="s">
        <v>1594</v>
      </c>
      <c r="L862" s="18" t="s">
        <v>1595</v>
      </c>
      <c r="M862" s="19">
        <f t="shared" si="52"/>
        <v>39</v>
      </c>
      <c r="AD862" s="53" t="s">
        <v>1373</v>
      </c>
    </row>
    <row r="863" spans="2:30" s="18" customFormat="1" x14ac:dyDescent="0.25">
      <c r="B863" s="19">
        <v>3</v>
      </c>
      <c r="I863" s="18" t="s">
        <v>1596</v>
      </c>
      <c r="L863" s="18" t="s">
        <v>1597</v>
      </c>
      <c r="M863" s="19">
        <f t="shared" si="52"/>
        <v>39</v>
      </c>
      <c r="AD863" s="53" t="s">
        <v>1373</v>
      </c>
    </row>
    <row r="864" spans="2:31" s="13" customFormat="1" x14ac:dyDescent="0.25">
      <c r="B864" s="14">
        <v>1</v>
      </c>
      <c r="C864" s="13">
        <v>5001</v>
      </c>
      <c r="D864" s="14" t="s">
        <v>31</v>
      </c>
      <c r="E864" s="14" t="s">
        <v>32</v>
      </c>
      <c r="F864" s="14" t="s">
        <v>34</v>
      </c>
      <c r="G864" s="35" t="s">
        <v>1598</v>
      </c>
      <c r="H864" s="35"/>
      <c r="I864" s="35"/>
      <c r="J864" s="13" t="str">
        <f>(C864)&amp;"-"&amp;(D864)&amp;"-"&amp;(E864)&amp;"-"&amp;(F864)&amp;"-"&amp;(G864)</f>
        <v>5001-PM03-BR-BR1-35-24-054</v>
      </c>
      <c r="K864" s="14">
        <f>LEN(J864)</f>
        <v>26</v>
      </c>
      <c r="L864" s="35" t="s">
        <v>1599</v>
      </c>
      <c r="M864" s="14">
        <f>LEN(L864)</f>
        <v>35</v>
      </c>
      <c r="AD864" s="36" t="s">
        <v>35</v>
      </c>
      <c r="AE864" s="14"/>
    </row>
    <row r="865" spans="2:30" s="15" customFormat="1" x14ac:dyDescent="0.25">
      <c r="B865" s="16">
        <v>2</v>
      </c>
      <c r="H865" s="15" t="s">
        <v>1600</v>
      </c>
      <c r="L865" s="15" t="s">
        <v>1601</v>
      </c>
      <c r="M865" s="16">
        <f t="shared" si="52"/>
        <v>42</v>
      </c>
      <c r="AD865" s="56" t="s">
        <v>1373</v>
      </c>
    </row>
    <row r="866" spans="2:30" s="18" customFormat="1" x14ac:dyDescent="0.25">
      <c r="B866" s="19">
        <v>3</v>
      </c>
      <c r="I866" s="18" t="s">
        <v>1272</v>
      </c>
      <c r="L866" s="18" t="s">
        <v>1602</v>
      </c>
      <c r="M866" s="19">
        <f t="shared" si="52"/>
        <v>28</v>
      </c>
      <c r="AD866" s="53" t="s">
        <v>1373</v>
      </c>
    </row>
    <row r="867" spans="2:30" s="15" customFormat="1" x14ac:dyDescent="0.25">
      <c r="B867" s="16">
        <v>2</v>
      </c>
      <c r="H867" s="15" t="s">
        <v>821</v>
      </c>
      <c r="L867" s="15" t="s">
        <v>1603</v>
      </c>
      <c r="M867" s="16">
        <f t="shared" si="52"/>
        <v>35</v>
      </c>
      <c r="AD867" s="56" t="s">
        <v>1373</v>
      </c>
    </row>
    <row r="868" spans="2:30" s="18" customFormat="1" x14ac:dyDescent="0.25">
      <c r="B868" s="19">
        <v>3</v>
      </c>
      <c r="I868" s="18" t="s">
        <v>1604</v>
      </c>
      <c r="L868" s="18" t="s">
        <v>1605</v>
      </c>
      <c r="M868" s="19">
        <f t="shared" si="52"/>
        <v>31</v>
      </c>
      <c r="AD868" s="53" t="s">
        <v>1373</v>
      </c>
    </row>
    <row r="869" spans="2:30" s="18" customFormat="1" x14ac:dyDescent="0.25">
      <c r="B869" s="19">
        <v>3</v>
      </c>
      <c r="I869" s="18" t="s">
        <v>375</v>
      </c>
      <c r="L869" s="18" t="s">
        <v>1606</v>
      </c>
      <c r="M869" s="19">
        <f t="shared" si="52"/>
        <v>30</v>
      </c>
      <c r="AD869" s="53" t="s">
        <v>1373</v>
      </c>
    </row>
    <row r="870" spans="2:30" s="18" customFormat="1" x14ac:dyDescent="0.25">
      <c r="B870" s="19">
        <v>3</v>
      </c>
      <c r="I870" s="18" t="s">
        <v>377</v>
      </c>
      <c r="L870" s="18" t="s">
        <v>1607</v>
      </c>
      <c r="M870" s="19">
        <f t="shared" si="52"/>
        <v>37</v>
      </c>
      <c r="AD870" s="53" t="s">
        <v>1373</v>
      </c>
    </row>
    <row r="871" spans="2:30" s="15" customFormat="1" x14ac:dyDescent="0.25">
      <c r="B871" s="16">
        <v>2</v>
      </c>
      <c r="H871" s="15" t="s">
        <v>826</v>
      </c>
      <c r="L871" s="15" t="s">
        <v>1608</v>
      </c>
      <c r="M871" s="16">
        <f t="shared" si="52"/>
        <v>35</v>
      </c>
      <c r="AD871" s="56" t="s">
        <v>1373</v>
      </c>
    </row>
    <row r="872" spans="2:30" s="18" customFormat="1" x14ac:dyDescent="0.25">
      <c r="B872" s="19">
        <v>3</v>
      </c>
      <c r="I872" s="18" t="s">
        <v>1609</v>
      </c>
      <c r="L872" s="18" t="s">
        <v>1610</v>
      </c>
      <c r="M872" s="19">
        <f t="shared" si="52"/>
        <v>31</v>
      </c>
      <c r="AD872" s="53" t="s">
        <v>1373</v>
      </c>
    </row>
    <row r="873" spans="2:30" s="18" customFormat="1" x14ac:dyDescent="0.25">
      <c r="B873" s="19">
        <v>3</v>
      </c>
      <c r="I873" s="18" t="s">
        <v>1611</v>
      </c>
      <c r="L873" s="18" t="s">
        <v>1612</v>
      </c>
      <c r="M873" s="19">
        <f t="shared" si="52"/>
        <v>30</v>
      </c>
      <c r="AD873" s="53" t="s">
        <v>1373</v>
      </c>
    </row>
    <row r="874" spans="2:30" s="18" customFormat="1" x14ac:dyDescent="0.25">
      <c r="B874" s="19">
        <v>3</v>
      </c>
      <c r="I874" s="18" t="s">
        <v>1613</v>
      </c>
      <c r="L874" s="18" t="s">
        <v>1614</v>
      </c>
      <c r="M874" s="19">
        <f t="shared" si="52"/>
        <v>37</v>
      </c>
      <c r="AD874" s="53" t="s">
        <v>1373</v>
      </c>
    </row>
    <row r="875" spans="2:30" s="15" customFormat="1" x14ac:dyDescent="0.25">
      <c r="B875" s="16">
        <v>2</v>
      </c>
      <c r="H875" s="15" t="s">
        <v>721</v>
      </c>
      <c r="L875" s="15" t="s">
        <v>1615</v>
      </c>
      <c r="M875" s="16">
        <f t="shared" si="52"/>
        <v>35</v>
      </c>
      <c r="AD875" s="56" t="s">
        <v>1373</v>
      </c>
    </row>
    <row r="876" spans="2:30" s="18" customFormat="1" x14ac:dyDescent="0.25">
      <c r="B876" s="19">
        <v>3</v>
      </c>
      <c r="I876" s="18" t="s">
        <v>1616</v>
      </c>
      <c r="L876" s="18" t="s">
        <v>1617</v>
      </c>
      <c r="M876" s="19">
        <f t="shared" si="52"/>
        <v>31</v>
      </c>
      <c r="AD876" s="53" t="s">
        <v>1373</v>
      </c>
    </row>
    <row r="877" spans="2:30" s="18" customFormat="1" x14ac:dyDescent="0.25">
      <c r="B877" s="19">
        <v>3</v>
      </c>
      <c r="I877" s="18" t="s">
        <v>371</v>
      </c>
      <c r="L877" s="18" t="s">
        <v>1618</v>
      </c>
      <c r="M877" s="19">
        <f t="shared" si="52"/>
        <v>30</v>
      </c>
      <c r="AD877" s="53" t="s">
        <v>1373</v>
      </c>
    </row>
    <row r="878" spans="2:30" s="18" customFormat="1" x14ac:dyDescent="0.25">
      <c r="B878" s="19">
        <v>3</v>
      </c>
      <c r="I878" s="18" t="s">
        <v>373</v>
      </c>
      <c r="L878" s="18" t="s">
        <v>1619</v>
      </c>
      <c r="M878" s="19">
        <f t="shared" si="52"/>
        <v>37</v>
      </c>
      <c r="AD878" s="53" t="s">
        <v>1373</v>
      </c>
    </row>
    <row r="879" spans="2:30" s="15" customFormat="1" x14ac:dyDescent="0.25">
      <c r="B879" s="16">
        <v>2</v>
      </c>
      <c r="H879" s="15" t="s">
        <v>713</v>
      </c>
      <c r="L879" s="15" t="s">
        <v>1620</v>
      </c>
      <c r="M879" s="16">
        <f t="shared" si="52"/>
        <v>35</v>
      </c>
      <c r="AD879" s="56" t="s">
        <v>1373</v>
      </c>
    </row>
    <row r="880" spans="2:30" s="18" customFormat="1" x14ac:dyDescent="0.25">
      <c r="B880" s="19">
        <v>3</v>
      </c>
      <c r="I880" s="18" t="s">
        <v>1621</v>
      </c>
      <c r="L880" s="18" t="s">
        <v>1622</v>
      </c>
      <c r="M880" s="19">
        <f t="shared" si="52"/>
        <v>31</v>
      </c>
      <c r="AD880" s="53" t="s">
        <v>1373</v>
      </c>
    </row>
    <row r="881" spans="2:30" s="18" customFormat="1" x14ac:dyDescent="0.25">
      <c r="B881" s="19">
        <v>3</v>
      </c>
      <c r="I881" s="18" t="s">
        <v>367</v>
      </c>
      <c r="L881" s="18" t="s">
        <v>1623</v>
      </c>
      <c r="M881" s="19">
        <f t="shared" si="52"/>
        <v>30</v>
      </c>
      <c r="AD881" s="53" t="s">
        <v>1373</v>
      </c>
    </row>
    <row r="882" spans="2:30" s="18" customFormat="1" x14ac:dyDescent="0.25">
      <c r="B882" s="19">
        <v>3</v>
      </c>
      <c r="I882" s="18" t="s">
        <v>369</v>
      </c>
      <c r="L882" s="18" t="s">
        <v>1624</v>
      </c>
      <c r="M882" s="19">
        <f t="shared" si="52"/>
        <v>37</v>
      </c>
      <c r="AD882" s="53" t="s">
        <v>1373</v>
      </c>
    </row>
    <row r="883" spans="2:30" s="15" customFormat="1" x14ac:dyDescent="0.25">
      <c r="B883" s="16">
        <v>2</v>
      </c>
      <c r="H883" s="15" t="s">
        <v>747</v>
      </c>
      <c r="L883" s="15" t="s">
        <v>1625</v>
      </c>
      <c r="M883" s="16">
        <f t="shared" si="52"/>
        <v>35</v>
      </c>
      <c r="AD883" s="56" t="s">
        <v>1373</v>
      </c>
    </row>
    <row r="884" spans="2:30" s="18" customFormat="1" x14ac:dyDescent="0.25">
      <c r="B884" s="19">
        <v>3</v>
      </c>
      <c r="I884" s="18" t="s">
        <v>1626</v>
      </c>
      <c r="L884" s="18" t="s">
        <v>1627</v>
      </c>
      <c r="M884" s="19">
        <f t="shared" si="52"/>
        <v>32</v>
      </c>
      <c r="AD884" s="53" t="s">
        <v>1373</v>
      </c>
    </row>
    <row r="885" spans="2:30" s="18" customFormat="1" x14ac:dyDescent="0.25">
      <c r="B885" s="19">
        <v>3</v>
      </c>
      <c r="I885" s="18" t="s">
        <v>1628</v>
      </c>
      <c r="L885" s="18" t="s">
        <v>1629</v>
      </c>
      <c r="M885" s="19">
        <f t="shared" si="52"/>
        <v>35</v>
      </c>
      <c r="AD885" s="53" t="s">
        <v>1373</v>
      </c>
    </row>
    <row r="886" spans="2:30" s="15" customFormat="1" x14ac:dyDescent="0.25">
      <c r="B886" s="16">
        <v>2</v>
      </c>
      <c r="H886" s="15" t="s">
        <v>1630</v>
      </c>
      <c r="L886" s="15" t="s">
        <v>1631</v>
      </c>
      <c r="M886" s="16">
        <f t="shared" si="52"/>
        <v>35</v>
      </c>
      <c r="AD886" s="56" t="s">
        <v>1373</v>
      </c>
    </row>
    <row r="887" spans="2:30" s="18" customFormat="1" x14ac:dyDescent="0.25">
      <c r="B887" s="19">
        <v>3</v>
      </c>
      <c r="I887" s="18" t="s">
        <v>1632</v>
      </c>
      <c r="L887" s="18" t="s">
        <v>1622</v>
      </c>
      <c r="M887" s="19">
        <f t="shared" si="52"/>
        <v>31</v>
      </c>
      <c r="AD887" s="53" t="s">
        <v>1373</v>
      </c>
    </row>
    <row r="888" spans="2:30" s="18" customFormat="1" x14ac:dyDescent="0.25">
      <c r="B888" s="19">
        <v>3</v>
      </c>
      <c r="I888" s="18" t="s">
        <v>363</v>
      </c>
      <c r="L888" s="18" t="s">
        <v>1633</v>
      </c>
      <c r="M888" s="19">
        <f t="shared" si="52"/>
        <v>30</v>
      </c>
      <c r="AD888" s="53" t="s">
        <v>1373</v>
      </c>
    </row>
    <row r="889" spans="2:30" s="18" customFormat="1" x14ac:dyDescent="0.25">
      <c r="B889" s="19">
        <v>3</v>
      </c>
      <c r="I889" s="18" t="s">
        <v>365</v>
      </c>
      <c r="L889" s="18" t="s">
        <v>1634</v>
      </c>
      <c r="M889" s="19">
        <f t="shared" si="52"/>
        <v>37</v>
      </c>
      <c r="AD889" s="53" t="s">
        <v>1373</v>
      </c>
    </row>
    <row r="890" spans="2:30" s="15" customFormat="1" x14ac:dyDescent="0.25">
      <c r="B890" s="16">
        <v>2</v>
      </c>
      <c r="H890" s="15" t="s">
        <v>1635</v>
      </c>
      <c r="L890" s="15" t="s">
        <v>1636</v>
      </c>
      <c r="M890" s="16">
        <f t="shared" si="52"/>
        <v>35</v>
      </c>
      <c r="AD890" s="56" t="s">
        <v>1373</v>
      </c>
    </row>
    <row r="891" spans="2:30" s="18" customFormat="1" x14ac:dyDescent="0.25">
      <c r="B891" s="19">
        <v>3</v>
      </c>
      <c r="I891" s="18" t="s">
        <v>1637</v>
      </c>
      <c r="L891" s="18" t="s">
        <v>1638</v>
      </c>
      <c r="M891" s="19">
        <f t="shared" si="52"/>
        <v>37</v>
      </c>
      <c r="AD891" s="53" t="s">
        <v>1373</v>
      </c>
    </row>
    <row r="892" spans="2:30" s="18" customFormat="1" x14ac:dyDescent="0.25">
      <c r="B892" s="19">
        <v>3</v>
      </c>
      <c r="I892" s="18" t="s">
        <v>1639</v>
      </c>
      <c r="L892" s="18" t="s">
        <v>1640</v>
      </c>
      <c r="M892" s="19">
        <f t="shared" si="52"/>
        <v>34</v>
      </c>
      <c r="AD892" s="53" t="s">
        <v>1373</v>
      </c>
    </row>
    <row r="893" spans="2:31" s="13" customFormat="1" x14ac:dyDescent="0.25">
      <c r="B893" s="14">
        <v>1</v>
      </c>
      <c r="C893" s="13">
        <v>5001</v>
      </c>
      <c r="D893" s="14" t="s">
        <v>31</v>
      </c>
      <c r="E893" s="14" t="s">
        <v>32</v>
      </c>
      <c r="F893" s="14" t="s">
        <v>34</v>
      </c>
      <c r="G893" s="35" t="s">
        <v>1315</v>
      </c>
      <c r="H893" s="35"/>
      <c r="I893" s="35"/>
      <c r="J893" s="13" t="str">
        <f>(C893)&amp;"-"&amp;(D893)&amp;"-"&amp;(E893)&amp;"-"&amp;(F893)&amp;"-"&amp;(G893)</f>
        <v>5001-PM03-BR-BR1-35-24-032</v>
      </c>
      <c r="K893" s="14">
        <f>LEN(J893)</f>
        <v>26</v>
      </c>
      <c r="L893" s="35" t="s">
        <v>1641</v>
      </c>
      <c r="M893" s="14">
        <f>LEN(L893)</f>
        <v>39</v>
      </c>
      <c r="AD893" s="36" t="s">
        <v>35</v>
      </c>
      <c r="AE893" s="14"/>
    </row>
    <row r="894" spans="2:30" s="15" customFormat="1" x14ac:dyDescent="0.25">
      <c r="B894" s="16">
        <v>2</v>
      </c>
      <c r="H894" s="15" t="s">
        <v>851</v>
      </c>
      <c r="L894" s="15" t="s">
        <v>1642</v>
      </c>
      <c r="M894" s="16">
        <f t="shared" ref="M894" si="54">LEN(L894)</f>
        <v>46</v>
      </c>
      <c r="AD894" s="56" t="s">
        <v>1373</v>
      </c>
    </row>
    <row r="895" spans="2:30" s="18" customFormat="1" x14ac:dyDescent="0.25">
      <c r="B895" s="19">
        <v>3</v>
      </c>
      <c r="I895" s="18" t="s">
        <v>891</v>
      </c>
      <c r="L895" s="18" t="s">
        <v>1643</v>
      </c>
      <c r="M895" s="19">
        <f t="shared" si="52"/>
        <v>29</v>
      </c>
      <c r="AD895" s="53" t="s">
        <v>1373</v>
      </c>
    </row>
    <row r="896" spans="2:30" s="15" customFormat="1" x14ac:dyDescent="0.25">
      <c r="B896" s="16">
        <v>2</v>
      </c>
      <c r="H896" s="15" t="s">
        <v>1644</v>
      </c>
      <c r="L896" s="15" t="s">
        <v>1645</v>
      </c>
      <c r="M896" s="16">
        <f t="shared" si="52"/>
        <v>39</v>
      </c>
      <c r="AD896" s="56" t="s">
        <v>1373</v>
      </c>
    </row>
    <row r="897" spans="2:30" s="18" customFormat="1" x14ac:dyDescent="0.25">
      <c r="B897" s="19">
        <v>3</v>
      </c>
      <c r="I897" s="18" t="s">
        <v>1646</v>
      </c>
      <c r="L897" s="18" t="s">
        <v>1647</v>
      </c>
      <c r="M897" s="19">
        <f t="shared" si="52"/>
        <v>31</v>
      </c>
      <c r="AD897" s="53" t="s">
        <v>1373</v>
      </c>
    </row>
    <row r="898" spans="2:30" s="18" customFormat="1" x14ac:dyDescent="0.25">
      <c r="B898" s="19">
        <v>3</v>
      </c>
      <c r="I898" s="18" t="s">
        <v>245</v>
      </c>
      <c r="L898" s="18" t="s">
        <v>1648</v>
      </c>
      <c r="M898" s="19">
        <f t="shared" si="52"/>
        <v>30</v>
      </c>
      <c r="AD898" s="53" t="s">
        <v>1373</v>
      </c>
    </row>
    <row r="899" spans="2:30" s="18" customFormat="1" x14ac:dyDescent="0.25">
      <c r="B899" s="19">
        <v>3</v>
      </c>
      <c r="I899" s="18" t="s">
        <v>247</v>
      </c>
      <c r="L899" s="18" t="s">
        <v>1649</v>
      </c>
      <c r="M899" s="19">
        <f t="shared" si="52"/>
        <v>37</v>
      </c>
      <c r="AD899" s="53" t="s">
        <v>1373</v>
      </c>
    </row>
    <row r="900" spans="2:30" s="15" customFormat="1" x14ac:dyDescent="0.25">
      <c r="B900" s="16">
        <v>2</v>
      </c>
      <c r="H900" s="15" t="s">
        <v>1650</v>
      </c>
      <c r="L900" s="15" t="s">
        <v>1651</v>
      </c>
      <c r="M900" s="16">
        <f t="shared" si="52"/>
        <v>39</v>
      </c>
      <c r="AD900" s="56" t="s">
        <v>1373</v>
      </c>
    </row>
    <row r="901" spans="2:30" s="18" customFormat="1" x14ac:dyDescent="0.25">
      <c r="B901" s="19">
        <v>3</v>
      </c>
      <c r="I901" s="18" t="s">
        <v>1652</v>
      </c>
      <c r="L901" s="18" t="s">
        <v>1653</v>
      </c>
      <c r="M901" s="19">
        <f t="shared" si="52"/>
        <v>31</v>
      </c>
      <c r="AD901" s="53" t="s">
        <v>1373</v>
      </c>
    </row>
    <row r="902" spans="2:30" s="18" customFormat="1" x14ac:dyDescent="0.25">
      <c r="B902" s="19">
        <v>3</v>
      </c>
      <c r="I902" s="18" t="s">
        <v>249</v>
      </c>
      <c r="L902" s="18" t="s">
        <v>1654</v>
      </c>
      <c r="M902" s="19">
        <f t="shared" si="52"/>
        <v>30</v>
      </c>
      <c r="AD902" s="53" t="s">
        <v>1373</v>
      </c>
    </row>
    <row r="903" spans="2:30" s="18" customFormat="1" x14ac:dyDescent="0.25">
      <c r="B903" s="19">
        <v>3</v>
      </c>
      <c r="I903" s="18" t="s">
        <v>251</v>
      </c>
      <c r="L903" s="18" t="s">
        <v>1655</v>
      </c>
      <c r="M903" s="19">
        <f t="shared" si="52"/>
        <v>37</v>
      </c>
      <c r="AD903" s="53" t="s">
        <v>1373</v>
      </c>
    </row>
    <row r="904" spans="2:30" s="15" customFormat="1" x14ac:dyDescent="0.25">
      <c r="B904" s="16">
        <v>2</v>
      </c>
      <c r="H904" s="15" t="s">
        <v>1317</v>
      </c>
      <c r="L904" s="15" t="s">
        <v>1656</v>
      </c>
      <c r="M904" s="16">
        <f t="shared" si="52"/>
        <v>39</v>
      </c>
      <c r="AD904" s="56" t="s">
        <v>1373</v>
      </c>
    </row>
    <row r="905" spans="2:30" s="18" customFormat="1" x14ac:dyDescent="0.25">
      <c r="B905" s="19">
        <v>3</v>
      </c>
      <c r="I905" s="18" t="s">
        <v>1657</v>
      </c>
      <c r="L905" s="18" t="s">
        <v>1658</v>
      </c>
      <c r="M905" s="19">
        <f t="shared" ref="M905:M910" si="55">LEN(L905)</f>
        <v>32</v>
      </c>
      <c r="AD905" s="53" t="s">
        <v>1373</v>
      </c>
    </row>
    <row r="906" spans="2:30" s="18" customFormat="1" x14ac:dyDescent="0.25">
      <c r="B906" s="19">
        <v>3</v>
      </c>
      <c r="I906" s="18" t="s">
        <v>1659</v>
      </c>
      <c r="L906" s="18" t="s">
        <v>1660</v>
      </c>
      <c r="M906" s="19">
        <f t="shared" si="55"/>
        <v>35</v>
      </c>
      <c r="AD906" s="53" t="s">
        <v>1373</v>
      </c>
    </row>
    <row r="907" spans="2:30" s="15" customFormat="1" x14ac:dyDescent="0.25">
      <c r="B907" s="16">
        <v>2</v>
      </c>
      <c r="H907" s="15" t="s">
        <v>1019</v>
      </c>
      <c r="L907" s="15" t="s">
        <v>1661</v>
      </c>
      <c r="M907" s="16">
        <f t="shared" si="55"/>
        <v>39</v>
      </c>
      <c r="AD907" s="56" t="s">
        <v>1373</v>
      </c>
    </row>
    <row r="908" spans="2:30" s="18" customFormat="1" x14ac:dyDescent="0.25">
      <c r="B908" s="19">
        <v>3</v>
      </c>
      <c r="I908" s="18" t="s">
        <v>1662</v>
      </c>
      <c r="L908" s="18" t="s">
        <v>1663</v>
      </c>
      <c r="M908" s="19">
        <f t="shared" si="55"/>
        <v>31</v>
      </c>
      <c r="AD908" s="53" t="s">
        <v>1373</v>
      </c>
    </row>
    <row r="909" spans="2:30" s="18" customFormat="1" x14ac:dyDescent="0.25">
      <c r="B909" s="19">
        <v>3</v>
      </c>
      <c r="I909" s="18" t="s">
        <v>1664</v>
      </c>
      <c r="L909" s="18" t="s">
        <v>1665</v>
      </c>
      <c r="M909" s="19">
        <f t="shared" si="55"/>
        <v>30</v>
      </c>
      <c r="AD909" s="53" t="s">
        <v>1373</v>
      </c>
    </row>
    <row r="910" spans="2:30" s="18" customFormat="1" x14ac:dyDescent="0.25">
      <c r="B910" s="19">
        <v>3</v>
      </c>
      <c r="I910" s="18" t="s">
        <v>1666</v>
      </c>
      <c r="L910" s="18" t="s">
        <v>1667</v>
      </c>
      <c r="M910" s="19">
        <f t="shared" si="55"/>
        <v>37</v>
      </c>
      <c r="AD910" s="53" t="s">
        <v>1373</v>
      </c>
    </row>
    <row r="911" spans="2:30" s="15" customFormat="1" x14ac:dyDescent="0.25">
      <c r="B911" s="16">
        <v>2</v>
      </c>
      <c r="H911" s="15" t="s">
        <v>570</v>
      </c>
      <c r="L911" s="15" t="s">
        <v>1668</v>
      </c>
      <c r="M911" s="16">
        <f>LEN(L911)</f>
        <v>39</v>
      </c>
      <c r="AD911" s="56" t="s">
        <v>1373</v>
      </c>
    </row>
    <row r="912" spans="2:30" s="18" customFormat="1" x14ac:dyDescent="0.25">
      <c r="B912" s="19">
        <v>3</v>
      </c>
      <c r="I912" s="18" t="s">
        <v>1669</v>
      </c>
      <c r="L912" s="18" t="s">
        <v>1670</v>
      </c>
      <c r="M912" s="19">
        <f t="shared" ref="M912:M975" si="56">LEN(L912)</f>
        <v>31</v>
      </c>
      <c r="AD912" s="53" t="s">
        <v>1373</v>
      </c>
    </row>
    <row r="913" spans="2:30" s="18" customFormat="1" x14ac:dyDescent="0.25">
      <c r="B913" s="19">
        <v>3</v>
      </c>
      <c r="I913" s="18" t="s">
        <v>1671</v>
      </c>
      <c r="L913" s="18" t="s">
        <v>1672</v>
      </c>
      <c r="M913" s="19">
        <f t="shared" si="56"/>
        <v>30</v>
      </c>
      <c r="AD913" s="53" t="s">
        <v>1373</v>
      </c>
    </row>
    <row r="914" spans="2:30" s="18" customFormat="1" x14ac:dyDescent="0.25">
      <c r="B914" s="19">
        <v>3</v>
      </c>
      <c r="I914" s="18" t="s">
        <v>1673</v>
      </c>
      <c r="L914" s="18" t="s">
        <v>1674</v>
      </c>
      <c r="M914" s="19">
        <f t="shared" si="56"/>
        <v>37</v>
      </c>
      <c r="AD914" s="53" t="s">
        <v>1373</v>
      </c>
    </row>
    <row r="915" spans="2:30" s="15" customFormat="1" x14ac:dyDescent="0.25">
      <c r="B915" s="16">
        <v>2</v>
      </c>
      <c r="H915" s="15" t="s">
        <v>1675</v>
      </c>
      <c r="L915" s="15" t="s">
        <v>1676</v>
      </c>
      <c r="M915" s="16">
        <f t="shared" si="56"/>
        <v>39</v>
      </c>
      <c r="AD915" s="56" t="s">
        <v>1373</v>
      </c>
    </row>
    <row r="916" spans="2:30" s="18" customFormat="1" x14ac:dyDescent="0.25">
      <c r="B916" s="19">
        <v>3</v>
      </c>
      <c r="I916" s="18" t="s">
        <v>1677</v>
      </c>
      <c r="L916" s="18" t="s">
        <v>1678</v>
      </c>
      <c r="M916" s="19">
        <f t="shared" si="56"/>
        <v>38</v>
      </c>
      <c r="AD916" s="53" t="s">
        <v>1373</v>
      </c>
    </row>
    <row r="917" spans="2:30" s="18" customFormat="1" x14ac:dyDescent="0.25">
      <c r="B917" s="19">
        <v>3</v>
      </c>
      <c r="I917" s="18" t="s">
        <v>1679</v>
      </c>
      <c r="L917" s="18" t="s">
        <v>1680</v>
      </c>
      <c r="M917" s="19">
        <f t="shared" si="56"/>
        <v>40</v>
      </c>
      <c r="AD917" s="53" t="s">
        <v>1373</v>
      </c>
    </row>
    <row r="918" spans="2:31" s="13" customFormat="1" x14ac:dyDescent="0.25">
      <c r="B918" s="14">
        <v>1</v>
      </c>
      <c r="C918" s="13">
        <v>5001</v>
      </c>
      <c r="D918" s="14" t="s">
        <v>31</v>
      </c>
      <c r="E918" s="14" t="s">
        <v>32</v>
      </c>
      <c r="F918" s="14" t="s">
        <v>34</v>
      </c>
      <c r="G918" s="35" t="s">
        <v>1504</v>
      </c>
      <c r="H918" s="35"/>
      <c r="I918" s="35"/>
      <c r="J918" s="13" t="str">
        <f>(C918)&amp;"-"&amp;(D918)&amp;"-"&amp;(E918)&amp;"-"&amp;(F918)&amp;"-"&amp;(G918)</f>
        <v>5001-PM03-BR-BR1-35-24-017</v>
      </c>
      <c r="K918" s="14">
        <f>LEN(J918)</f>
        <v>26</v>
      </c>
      <c r="L918" s="35" t="s">
        <v>1681</v>
      </c>
      <c r="M918" s="14">
        <f>LEN(L918)</f>
        <v>37</v>
      </c>
      <c r="AD918" s="36" t="s">
        <v>35</v>
      </c>
      <c r="AE918" s="14"/>
    </row>
    <row r="919" spans="2:30" s="15" customFormat="1" x14ac:dyDescent="0.25">
      <c r="B919" s="16">
        <v>2</v>
      </c>
      <c r="H919" s="15" t="s">
        <v>1329</v>
      </c>
      <c r="L919" s="15" t="s">
        <v>1682</v>
      </c>
      <c r="M919" s="16">
        <f t="shared" si="56"/>
        <v>44</v>
      </c>
      <c r="AD919" s="56" t="s">
        <v>1373</v>
      </c>
    </row>
    <row r="920" spans="2:30" s="18" customFormat="1" x14ac:dyDescent="0.25">
      <c r="B920" s="19">
        <v>3</v>
      </c>
      <c r="I920" s="18" t="s">
        <v>958</v>
      </c>
      <c r="L920" s="18" t="s">
        <v>1683</v>
      </c>
      <c r="M920" s="19">
        <f t="shared" si="56"/>
        <v>29</v>
      </c>
      <c r="AD920" s="53" t="s">
        <v>1373</v>
      </c>
    </row>
    <row r="921" spans="2:30" s="15" customFormat="1" x14ac:dyDescent="0.25">
      <c r="B921" s="16">
        <v>2</v>
      </c>
      <c r="H921" s="15" t="s">
        <v>971</v>
      </c>
      <c r="L921" s="15" t="s">
        <v>1684</v>
      </c>
      <c r="M921" s="16">
        <f t="shared" si="56"/>
        <v>37</v>
      </c>
      <c r="AD921" s="56" t="s">
        <v>1373</v>
      </c>
    </row>
    <row r="922" spans="2:30" s="18" customFormat="1" x14ac:dyDescent="0.25">
      <c r="B922" s="19">
        <v>3</v>
      </c>
      <c r="I922" s="18" t="s">
        <v>1685</v>
      </c>
      <c r="L922" s="18" t="s">
        <v>1686</v>
      </c>
      <c r="M922" s="19">
        <f t="shared" si="56"/>
        <v>31</v>
      </c>
      <c r="AD922" s="53" t="s">
        <v>1373</v>
      </c>
    </row>
    <row r="923" spans="2:30" s="18" customFormat="1" x14ac:dyDescent="0.25">
      <c r="B923" s="19">
        <v>3</v>
      </c>
      <c r="I923" s="18" t="s">
        <v>172</v>
      </c>
      <c r="L923" s="18" t="s">
        <v>1687</v>
      </c>
      <c r="M923" s="19">
        <f t="shared" si="56"/>
        <v>30</v>
      </c>
      <c r="AD923" s="53" t="s">
        <v>1373</v>
      </c>
    </row>
    <row r="924" spans="2:30" s="18" customFormat="1" x14ac:dyDescent="0.25">
      <c r="B924" s="19">
        <v>3</v>
      </c>
      <c r="I924" s="18" t="s">
        <v>174</v>
      </c>
      <c r="L924" s="18" t="s">
        <v>1688</v>
      </c>
      <c r="M924" s="19">
        <f t="shared" si="56"/>
        <v>37</v>
      </c>
      <c r="AD924" s="53" t="s">
        <v>1373</v>
      </c>
    </row>
    <row r="925" spans="2:30" s="15" customFormat="1" x14ac:dyDescent="0.25">
      <c r="B925" s="16">
        <v>2</v>
      </c>
      <c r="H925" s="15" t="s">
        <v>990</v>
      </c>
      <c r="L925" s="15" t="s">
        <v>1689</v>
      </c>
      <c r="M925" s="16">
        <f t="shared" si="56"/>
        <v>37</v>
      </c>
      <c r="AD925" s="56" t="s">
        <v>1373</v>
      </c>
    </row>
    <row r="926" spans="2:30" s="18" customFormat="1" x14ac:dyDescent="0.25">
      <c r="B926" s="19">
        <v>3</v>
      </c>
      <c r="I926" s="18" t="s">
        <v>1690</v>
      </c>
      <c r="L926" s="18" t="s">
        <v>1691</v>
      </c>
      <c r="M926" s="19">
        <f t="shared" si="56"/>
        <v>31</v>
      </c>
      <c r="AD926" s="53" t="s">
        <v>1373</v>
      </c>
    </row>
    <row r="927" spans="2:30" s="18" customFormat="1" x14ac:dyDescent="0.25">
      <c r="B927" s="19">
        <v>3</v>
      </c>
      <c r="I927" s="18" t="s">
        <v>1692</v>
      </c>
      <c r="L927" s="18" t="s">
        <v>1693</v>
      </c>
      <c r="M927" s="19">
        <f t="shared" si="56"/>
        <v>30</v>
      </c>
      <c r="AD927" s="53" t="s">
        <v>1373</v>
      </c>
    </row>
    <row r="928" spans="2:30" s="18" customFormat="1" x14ac:dyDescent="0.25">
      <c r="B928" s="19">
        <v>3</v>
      </c>
      <c r="I928" s="18" t="s">
        <v>1694</v>
      </c>
      <c r="L928" s="18" t="s">
        <v>1695</v>
      </c>
      <c r="M928" s="19">
        <f t="shared" si="56"/>
        <v>37</v>
      </c>
      <c r="AD928" s="53" t="s">
        <v>1373</v>
      </c>
    </row>
    <row r="929" spans="2:30" s="18" customFormat="1" x14ac:dyDescent="0.25">
      <c r="B929" s="19">
        <v>3</v>
      </c>
      <c r="I929" s="18" t="s">
        <v>988</v>
      </c>
      <c r="L929" s="18" t="s">
        <v>1696</v>
      </c>
      <c r="M929" s="19">
        <f t="shared" si="56"/>
        <v>43</v>
      </c>
      <c r="AD929" s="53" t="s">
        <v>1373</v>
      </c>
    </row>
    <row r="930" spans="2:30" s="18" customFormat="1" x14ac:dyDescent="0.25">
      <c r="B930" s="19">
        <v>3</v>
      </c>
      <c r="I930" s="18" t="s">
        <v>1697</v>
      </c>
      <c r="L930" s="18" t="s">
        <v>1698</v>
      </c>
      <c r="M930" s="19">
        <f t="shared" si="56"/>
        <v>44</v>
      </c>
      <c r="AD930" s="53" t="s">
        <v>1373</v>
      </c>
    </row>
    <row r="931" spans="2:30" s="15" customFormat="1" x14ac:dyDescent="0.25">
      <c r="B931" s="16">
        <v>2</v>
      </c>
      <c r="H931" s="15" t="s">
        <v>1699</v>
      </c>
      <c r="L931" s="15" t="s">
        <v>1700</v>
      </c>
      <c r="M931" s="16">
        <f t="shared" si="56"/>
        <v>37</v>
      </c>
      <c r="AD931" s="56" t="s">
        <v>1373</v>
      </c>
    </row>
    <row r="932" spans="2:30" s="18" customFormat="1" x14ac:dyDescent="0.25">
      <c r="B932" s="19">
        <v>3</v>
      </c>
      <c r="I932" s="18" t="s">
        <v>1701</v>
      </c>
      <c r="L932" s="18" t="s">
        <v>1702</v>
      </c>
      <c r="M932" s="19">
        <f t="shared" si="56"/>
        <v>32</v>
      </c>
      <c r="AD932" s="53" t="s">
        <v>1373</v>
      </c>
    </row>
    <row r="933" spans="2:30" s="18" customFormat="1" x14ac:dyDescent="0.25">
      <c r="B933" s="19">
        <v>3</v>
      </c>
      <c r="I933" s="18" t="s">
        <v>1703</v>
      </c>
      <c r="L933" s="18" t="s">
        <v>1704</v>
      </c>
      <c r="M933" s="19">
        <f t="shared" si="56"/>
        <v>35</v>
      </c>
      <c r="AD933" s="53" t="s">
        <v>1373</v>
      </c>
    </row>
    <row r="934" spans="2:30" s="15" customFormat="1" x14ac:dyDescent="0.25">
      <c r="B934" s="16">
        <v>2</v>
      </c>
      <c r="H934" s="15" t="s">
        <v>1705</v>
      </c>
      <c r="L934" s="15" t="s">
        <v>1706</v>
      </c>
      <c r="M934" s="16">
        <f t="shared" si="56"/>
        <v>38</v>
      </c>
      <c r="AD934" s="56" t="s">
        <v>1373</v>
      </c>
    </row>
    <row r="935" spans="2:30" s="18" customFormat="1" x14ac:dyDescent="0.25">
      <c r="B935" s="19">
        <v>3</v>
      </c>
      <c r="I935" s="18" t="s">
        <v>1707</v>
      </c>
      <c r="L935" s="18" t="s">
        <v>1708</v>
      </c>
      <c r="M935" s="19">
        <f t="shared" si="56"/>
        <v>31</v>
      </c>
      <c r="AD935" s="53" t="s">
        <v>1373</v>
      </c>
    </row>
    <row r="936" spans="2:30" s="18" customFormat="1" x14ac:dyDescent="0.25">
      <c r="B936" s="19">
        <v>3</v>
      </c>
      <c r="I936" s="18" t="s">
        <v>168</v>
      </c>
      <c r="L936" s="18" t="s">
        <v>1709</v>
      </c>
      <c r="M936" s="19">
        <f t="shared" si="56"/>
        <v>30</v>
      </c>
      <c r="AD936" s="53" t="s">
        <v>1373</v>
      </c>
    </row>
    <row r="937" spans="2:30" s="18" customFormat="1" x14ac:dyDescent="0.25">
      <c r="B937" s="19">
        <v>3</v>
      </c>
      <c r="I937" s="18" t="s">
        <v>170</v>
      </c>
      <c r="L937" s="18" t="s">
        <v>1710</v>
      </c>
      <c r="M937" s="19">
        <f t="shared" si="56"/>
        <v>37</v>
      </c>
      <c r="AD937" s="53" t="s">
        <v>1373</v>
      </c>
    </row>
    <row r="938" spans="2:30" s="18" customFormat="1" x14ac:dyDescent="0.25">
      <c r="B938" s="19">
        <v>3</v>
      </c>
      <c r="I938" s="18" t="s">
        <v>955</v>
      </c>
      <c r="L938" s="18" t="s">
        <v>1711</v>
      </c>
      <c r="M938" s="19">
        <f t="shared" si="56"/>
        <v>41</v>
      </c>
      <c r="AD938" s="53" t="s">
        <v>1373</v>
      </c>
    </row>
    <row r="939" spans="2:30" s="18" customFormat="1" x14ac:dyDescent="0.25">
      <c r="B939" s="19">
        <v>3</v>
      </c>
      <c r="I939" s="18" t="s">
        <v>1712</v>
      </c>
      <c r="L939" s="18" t="s">
        <v>1713</v>
      </c>
      <c r="M939" s="19">
        <f t="shared" si="56"/>
        <v>41</v>
      </c>
      <c r="AD939" s="53" t="s">
        <v>1373</v>
      </c>
    </row>
    <row r="940" spans="2:30" s="15" customFormat="1" x14ac:dyDescent="0.25">
      <c r="B940" s="16">
        <v>2</v>
      </c>
      <c r="H940" s="15" t="s">
        <v>920</v>
      </c>
      <c r="L940" s="15" t="s">
        <v>1714</v>
      </c>
      <c r="M940" s="16">
        <f t="shared" si="56"/>
        <v>37</v>
      </c>
      <c r="AD940" s="56" t="s">
        <v>1373</v>
      </c>
    </row>
    <row r="941" spans="2:30" s="18" customFormat="1" x14ac:dyDescent="0.25">
      <c r="B941" s="19">
        <v>3</v>
      </c>
      <c r="I941" s="18" t="s">
        <v>1715</v>
      </c>
      <c r="L941" s="18" t="s">
        <v>1716</v>
      </c>
      <c r="M941" s="19">
        <f t="shared" si="56"/>
        <v>38</v>
      </c>
      <c r="AD941" s="53" t="s">
        <v>1373</v>
      </c>
    </row>
    <row r="942" spans="2:30" s="18" customFormat="1" x14ac:dyDescent="0.25">
      <c r="B942" s="19">
        <v>3</v>
      </c>
      <c r="I942" s="18" t="s">
        <v>1717</v>
      </c>
      <c r="L942" s="18" t="s">
        <v>1718</v>
      </c>
      <c r="M942" s="19">
        <f t="shared" si="56"/>
        <v>40</v>
      </c>
      <c r="AD942" s="53" t="s">
        <v>1373</v>
      </c>
    </row>
    <row r="943" spans="2:31" s="13" customFormat="1" x14ac:dyDescent="0.25">
      <c r="B943" s="14">
        <v>1</v>
      </c>
      <c r="C943" s="13">
        <v>5001</v>
      </c>
      <c r="D943" s="14" t="s">
        <v>31</v>
      </c>
      <c r="E943" s="14" t="s">
        <v>32</v>
      </c>
      <c r="F943" s="14" t="s">
        <v>34</v>
      </c>
      <c r="G943" s="35" t="s">
        <v>1367</v>
      </c>
      <c r="H943" s="35"/>
      <c r="I943" s="35"/>
      <c r="J943" s="13" t="str">
        <f>(C943)&amp;"-"&amp;(D943)&amp;"-"&amp;(E943)&amp;"-"&amp;(F943)&amp;"-"&amp;(G943)</f>
        <v>5001-PM03-BR-BR1-35-24-185</v>
      </c>
      <c r="K943" s="14">
        <f>LEN(J943)</f>
        <v>26</v>
      </c>
      <c r="L943" s="35" t="s">
        <v>1719</v>
      </c>
      <c r="M943" s="14">
        <f>LEN(L943)</f>
        <v>41</v>
      </c>
      <c r="AD943" s="36" t="s">
        <v>35</v>
      </c>
      <c r="AE943" s="14"/>
    </row>
    <row r="944" spans="2:30" s="15" customFormat="1" x14ac:dyDescent="0.25">
      <c r="B944" s="16">
        <v>2</v>
      </c>
      <c r="H944" s="15" t="s">
        <v>79</v>
      </c>
      <c r="L944" s="15" t="s">
        <v>1720</v>
      </c>
      <c r="M944" s="16">
        <f t="shared" si="56"/>
        <v>48</v>
      </c>
      <c r="AD944" s="56" t="s">
        <v>1373</v>
      </c>
    </row>
    <row r="945" spans="2:30" s="15" customFormat="1" x14ac:dyDescent="0.25">
      <c r="B945" s="16">
        <v>2</v>
      </c>
      <c r="H945" s="15" t="s">
        <v>144</v>
      </c>
      <c r="L945" s="15" t="s">
        <v>1721</v>
      </c>
      <c r="M945" s="16">
        <f t="shared" si="56"/>
        <v>41</v>
      </c>
      <c r="AD945" s="56" t="s">
        <v>1373</v>
      </c>
    </row>
    <row r="946" spans="2:30" s="18" customFormat="1" x14ac:dyDescent="0.25">
      <c r="B946" s="19">
        <v>3</v>
      </c>
      <c r="I946" s="18" t="s">
        <v>1722</v>
      </c>
      <c r="L946" s="18" t="s">
        <v>1723</v>
      </c>
      <c r="M946" s="19">
        <f t="shared" si="56"/>
        <v>32</v>
      </c>
      <c r="AD946" s="53" t="s">
        <v>1373</v>
      </c>
    </row>
    <row r="947" spans="2:30" s="18" customFormat="1" x14ac:dyDescent="0.25">
      <c r="B947" s="19">
        <v>3</v>
      </c>
      <c r="I947" s="18" t="s">
        <v>1724</v>
      </c>
      <c r="L947" s="18" t="s">
        <v>1725</v>
      </c>
      <c r="M947" s="19">
        <f t="shared" si="56"/>
        <v>34</v>
      </c>
      <c r="AD947" s="53" t="s">
        <v>1373</v>
      </c>
    </row>
    <row r="948" spans="2:30" s="15" customFormat="1" x14ac:dyDescent="0.25">
      <c r="B948" s="16">
        <v>2</v>
      </c>
      <c r="H948" s="15" t="s">
        <v>142</v>
      </c>
      <c r="L948" s="15" t="s">
        <v>1726</v>
      </c>
      <c r="M948" s="16">
        <f t="shared" si="56"/>
        <v>41</v>
      </c>
      <c r="AD948" s="56" t="s">
        <v>1373</v>
      </c>
    </row>
    <row r="949" spans="2:30" s="18" customFormat="1" x14ac:dyDescent="0.25">
      <c r="B949" s="19">
        <v>3</v>
      </c>
      <c r="I949" s="18" t="s">
        <v>1727</v>
      </c>
      <c r="L949" s="18" t="s">
        <v>1728</v>
      </c>
      <c r="M949" s="19">
        <f t="shared" si="56"/>
        <v>31</v>
      </c>
      <c r="AD949" s="53" t="s">
        <v>1373</v>
      </c>
    </row>
    <row r="950" spans="2:30" s="18" customFormat="1" x14ac:dyDescent="0.25">
      <c r="B950" s="19">
        <v>3</v>
      </c>
      <c r="I950" s="18" t="s">
        <v>1729</v>
      </c>
      <c r="L950" s="18" t="s">
        <v>1730</v>
      </c>
      <c r="M950" s="19">
        <f t="shared" si="56"/>
        <v>30</v>
      </c>
      <c r="AD950" s="53" t="s">
        <v>1373</v>
      </c>
    </row>
    <row r="951" spans="2:30" s="18" customFormat="1" x14ac:dyDescent="0.25">
      <c r="B951" s="19">
        <v>3</v>
      </c>
      <c r="I951" s="18" t="s">
        <v>99</v>
      </c>
      <c r="L951" s="18" t="s">
        <v>1731</v>
      </c>
      <c r="M951" s="19">
        <f t="shared" si="56"/>
        <v>37</v>
      </c>
      <c r="AD951" s="53" t="s">
        <v>1373</v>
      </c>
    </row>
    <row r="952" spans="2:30" s="15" customFormat="1" x14ac:dyDescent="0.25">
      <c r="B952" s="16">
        <v>2</v>
      </c>
      <c r="H952" s="15" t="s">
        <v>1374</v>
      </c>
      <c r="L952" s="15" t="s">
        <v>1732</v>
      </c>
      <c r="M952" s="16">
        <f t="shared" si="56"/>
        <v>41</v>
      </c>
      <c r="AD952" s="56" t="s">
        <v>1373</v>
      </c>
    </row>
    <row r="953" spans="2:30" s="18" customFormat="1" x14ac:dyDescent="0.25">
      <c r="B953" s="19">
        <v>3</v>
      </c>
      <c r="I953" s="18" t="s">
        <v>1733</v>
      </c>
      <c r="L953" s="18" t="s">
        <v>1734</v>
      </c>
      <c r="M953" s="19">
        <f t="shared" si="56"/>
        <v>38</v>
      </c>
      <c r="AD953" s="53" t="s">
        <v>1373</v>
      </c>
    </row>
    <row r="954" spans="2:30" s="18" customFormat="1" x14ac:dyDescent="0.25">
      <c r="B954" s="19">
        <v>3</v>
      </c>
      <c r="I954" s="18" t="s">
        <v>1735</v>
      </c>
      <c r="L954" s="18" t="s">
        <v>1736</v>
      </c>
      <c r="M954" s="19">
        <f t="shared" si="56"/>
        <v>40</v>
      </c>
      <c r="AD954" s="53" t="s">
        <v>1373</v>
      </c>
    </row>
    <row r="955" spans="2:31" s="13" customFormat="1" x14ac:dyDescent="0.25">
      <c r="B955" s="14">
        <v>1</v>
      </c>
      <c r="C955" s="13">
        <v>5001</v>
      </c>
      <c r="D955" s="14" t="s">
        <v>31</v>
      </c>
      <c r="E955" s="14" t="s">
        <v>32</v>
      </c>
      <c r="F955" s="14" t="s">
        <v>34</v>
      </c>
      <c r="G955" s="35" t="s">
        <v>879</v>
      </c>
      <c r="H955" s="35"/>
      <c r="I955" s="35"/>
      <c r="J955" s="13" t="str">
        <f>(C955)&amp;"-"&amp;(D955)&amp;"-"&amp;(E955)&amp;"-"&amp;(F955)&amp;"-"&amp;(G955)</f>
        <v>5001-PM03-BR-BR1-35-24-213</v>
      </c>
      <c r="K955" s="14">
        <f>LEN(J955)</f>
        <v>26</v>
      </c>
      <c r="L955" s="35" t="s">
        <v>1737</v>
      </c>
      <c r="M955" s="14">
        <f>LEN(L955)</f>
        <v>41</v>
      </c>
      <c r="AD955" s="36" t="s">
        <v>35</v>
      </c>
      <c r="AE955" s="14"/>
    </row>
    <row r="956" spans="2:30" s="15" customFormat="1" x14ac:dyDescent="0.25">
      <c r="B956" s="16">
        <v>2</v>
      </c>
      <c r="H956" s="15" t="s">
        <v>343</v>
      </c>
      <c r="L956" s="15" t="s">
        <v>1738</v>
      </c>
      <c r="M956" s="16">
        <f t="shared" ref="M956" si="57">LEN(L956)</f>
        <v>40</v>
      </c>
      <c r="AD956" s="56" t="s">
        <v>1373</v>
      </c>
    </row>
    <row r="957" spans="2:30" s="15" customFormat="1" x14ac:dyDescent="0.25">
      <c r="B957" s="16">
        <v>2</v>
      </c>
      <c r="H957" s="15" t="s">
        <v>332</v>
      </c>
      <c r="L957" s="15" t="s">
        <v>1739</v>
      </c>
      <c r="M957" s="16">
        <f t="shared" si="56"/>
        <v>40</v>
      </c>
      <c r="AD957" s="56" t="s">
        <v>1373</v>
      </c>
    </row>
    <row r="958" spans="2:31" s="13" customFormat="1" x14ac:dyDescent="0.25">
      <c r="B958" s="14">
        <v>1</v>
      </c>
      <c r="C958" s="13">
        <v>5001</v>
      </c>
      <c r="D958" s="14" t="s">
        <v>31</v>
      </c>
      <c r="E958" s="14" t="s">
        <v>32</v>
      </c>
      <c r="F958" s="14" t="s">
        <v>34</v>
      </c>
      <c r="G958" s="35" t="s">
        <v>1740</v>
      </c>
      <c r="H958" s="35"/>
      <c r="I958" s="35"/>
      <c r="J958" s="13" t="str">
        <f>(C958)&amp;"-"&amp;(D958)&amp;"-"&amp;(E958)&amp;"-"&amp;(F958)&amp;"-"&amp;(G958)</f>
        <v>5001-PM03-BR-BR1-35-25-162</v>
      </c>
      <c r="K958" s="14">
        <f>LEN(J958)</f>
        <v>26</v>
      </c>
      <c r="L958" s="35" t="s">
        <v>1741</v>
      </c>
      <c r="M958" s="14">
        <f>LEN(L958)</f>
        <v>33</v>
      </c>
      <c r="AD958" s="36" t="s">
        <v>35</v>
      </c>
      <c r="AE958" s="14"/>
    </row>
    <row r="959" spans="2:30" s="15" customFormat="1" x14ac:dyDescent="0.25">
      <c r="B959" s="16">
        <v>2</v>
      </c>
      <c r="H959" s="15" t="s">
        <v>1504</v>
      </c>
      <c r="L959" s="15" t="s">
        <v>1742</v>
      </c>
      <c r="M959" s="16">
        <f t="shared" ref="M959:M960" si="58">LEN(L959)</f>
        <v>40</v>
      </c>
      <c r="AD959" s="56" t="s">
        <v>1373</v>
      </c>
    </row>
    <row r="960" spans="2:30" s="15" customFormat="1" x14ac:dyDescent="0.25">
      <c r="B960" s="16">
        <v>2</v>
      </c>
      <c r="H960" s="15" t="s">
        <v>1506</v>
      </c>
      <c r="L960" s="15" t="s">
        <v>1743</v>
      </c>
      <c r="M960" s="16">
        <f t="shared" si="58"/>
        <v>41</v>
      </c>
      <c r="AD960" s="56" t="s">
        <v>1373</v>
      </c>
    </row>
    <row r="961" spans="2:31" s="13" customFormat="1" x14ac:dyDescent="0.25">
      <c r="B961" s="14">
        <v>1</v>
      </c>
      <c r="C961" s="13">
        <v>5001</v>
      </c>
      <c r="D961" s="14" t="s">
        <v>31</v>
      </c>
      <c r="E961" s="14" t="s">
        <v>32</v>
      </c>
      <c r="F961" s="14" t="s">
        <v>34</v>
      </c>
      <c r="G961" s="35" t="s">
        <v>1744</v>
      </c>
      <c r="H961" s="35"/>
      <c r="I961" s="35"/>
      <c r="J961" s="13" t="str">
        <f>(C961)&amp;"-"&amp;(D961)&amp;"-"&amp;(E961)&amp;"-"&amp;(F961)&amp;"-"&amp;(G961)</f>
        <v>5001-PM03-BR-BR1-35-25-072</v>
      </c>
      <c r="K961" s="14">
        <f>LEN(J961)</f>
        <v>26</v>
      </c>
      <c r="L961" s="35" t="s">
        <v>1745</v>
      </c>
      <c r="M961" s="14">
        <f>LEN(L961)</f>
        <v>36</v>
      </c>
      <c r="AD961" s="36" t="s">
        <v>35</v>
      </c>
      <c r="AE961" s="14"/>
    </row>
    <row r="962" spans="2:31" s="13" customFormat="1" x14ac:dyDescent="0.25">
      <c r="B962" s="14">
        <v>1</v>
      </c>
      <c r="C962" s="13">
        <v>5001</v>
      </c>
      <c r="D962" s="14" t="s">
        <v>31</v>
      </c>
      <c r="E962" s="14" t="s">
        <v>32</v>
      </c>
      <c r="F962" s="14" t="s">
        <v>34</v>
      </c>
      <c r="G962" s="35" t="s">
        <v>1746</v>
      </c>
      <c r="H962" s="35"/>
      <c r="I962" s="35"/>
      <c r="J962" s="13" t="str">
        <f>(C962)&amp;"-"&amp;(D962)&amp;"-"&amp;(E962)&amp;"-"&amp;(F962)&amp;"-"&amp;(G962)</f>
        <v>5001-PM03-BR-BR1-35-25-143</v>
      </c>
      <c r="K962" s="14">
        <f>LEN(J962)</f>
        <v>26</v>
      </c>
      <c r="L962" s="35" t="s">
        <v>1747</v>
      </c>
      <c r="M962" s="14">
        <f>LEN(L962)</f>
        <v>36</v>
      </c>
      <c r="AD962" s="36" t="s">
        <v>35</v>
      </c>
      <c r="AE962" s="14"/>
    </row>
    <row r="963" spans="2:31" s="13" customFormat="1" x14ac:dyDescent="0.25">
      <c r="B963" s="14">
        <v>1</v>
      </c>
      <c r="C963" s="13">
        <v>5001</v>
      </c>
      <c r="D963" s="14" t="s">
        <v>31</v>
      </c>
      <c r="E963" s="14" t="s">
        <v>32</v>
      </c>
      <c r="F963" s="14" t="s">
        <v>34</v>
      </c>
      <c r="G963" s="35" t="s">
        <v>1748</v>
      </c>
      <c r="H963" s="35"/>
      <c r="I963" s="35"/>
      <c r="J963" s="13" t="str">
        <f>(C963)&amp;"-"&amp;(D963)&amp;"-"&amp;(E963)&amp;"-"&amp;(F963)&amp;"-"&amp;(G963)</f>
        <v>5001-PM03-BR-BR1-35-25-183</v>
      </c>
      <c r="K963" s="14">
        <f>LEN(J963)</f>
        <v>26</v>
      </c>
      <c r="L963" s="35" t="s">
        <v>1749</v>
      </c>
      <c r="M963" s="14">
        <f>LEN(L963)</f>
        <v>26</v>
      </c>
      <c r="AD963" s="36" t="s">
        <v>35</v>
      </c>
      <c r="AE963" s="14"/>
    </row>
    <row r="964" spans="2:30" s="15" customFormat="1" x14ac:dyDescent="0.25">
      <c r="B964" s="16">
        <v>2</v>
      </c>
      <c r="H964" s="15" t="s">
        <v>1750</v>
      </c>
      <c r="L964" s="15" t="s">
        <v>1751</v>
      </c>
      <c r="M964" s="16">
        <f t="shared" ref="M964" si="59">LEN(L964)</f>
        <v>36</v>
      </c>
      <c r="AD964" s="56" t="s">
        <v>1373</v>
      </c>
    </row>
    <row r="965" spans="2:30" s="18" customFormat="1" x14ac:dyDescent="0.25">
      <c r="B965" s="19">
        <v>3</v>
      </c>
      <c r="I965" s="18" t="s">
        <v>1752</v>
      </c>
      <c r="L965" s="18" t="s">
        <v>1753</v>
      </c>
      <c r="M965" s="19">
        <f t="shared" si="56"/>
        <v>44</v>
      </c>
      <c r="AD965" s="53" t="s">
        <v>1373</v>
      </c>
    </row>
    <row r="966" spans="2:30" s="15" customFormat="1" x14ac:dyDescent="0.25">
      <c r="B966" s="16">
        <v>2</v>
      </c>
      <c r="H966" s="15" t="s">
        <v>217</v>
      </c>
      <c r="L966" s="15" t="s">
        <v>1754</v>
      </c>
      <c r="M966" s="16">
        <f t="shared" si="56"/>
        <v>32</v>
      </c>
      <c r="AD966" s="56" t="s">
        <v>1373</v>
      </c>
    </row>
    <row r="967" spans="2:30" s="18" customFormat="1" x14ac:dyDescent="0.25">
      <c r="B967" s="19">
        <v>3</v>
      </c>
      <c r="I967" s="18" t="s">
        <v>1675</v>
      </c>
      <c r="L967" s="18" t="s">
        <v>1755</v>
      </c>
      <c r="M967" s="19">
        <f t="shared" si="56"/>
        <v>35</v>
      </c>
      <c r="AD967" s="53" t="s">
        <v>1373</v>
      </c>
    </row>
    <row r="968" spans="2:30" s="18" customFormat="1" x14ac:dyDescent="0.25">
      <c r="B968" s="19">
        <v>3</v>
      </c>
      <c r="I968" s="18" t="s">
        <v>1756</v>
      </c>
      <c r="L968" s="18" t="s">
        <v>1757</v>
      </c>
      <c r="M968" s="19">
        <f t="shared" si="56"/>
        <v>31</v>
      </c>
      <c r="AD968" s="53" t="s">
        <v>1373</v>
      </c>
    </row>
    <row r="969" spans="2:30" s="18" customFormat="1" x14ac:dyDescent="0.25">
      <c r="B969" s="19">
        <v>3</v>
      </c>
      <c r="I969" s="18" t="s">
        <v>1758</v>
      </c>
      <c r="L969" s="18" t="s">
        <v>1759</v>
      </c>
      <c r="M969" s="19">
        <f t="shared" si="56"/>
        <v>38</v>
      </c>
      <c r="AD969" s="53" t="s">
        <v>1373</v>
      </c>
    </row>
    <row r="970" spans="2:31" s="13" customFormat="1" x14ac:dyDescent="0.25">
      <c r="B970" s="14">
        <v>1</v>
      </c>
      <c r="C970" s="13">
        <v>5001</v>
      </c>
      <c r="D970" s="14" t="s">
        <v>31</v>
      </c>
      <c r="E970" s="14" t="s">
        <v>32</v>
      </c>
      <c r="F970" s="14" t="s">
        <v>34</v>
      </c>
      <c r="G970" s="35" t="s">
        <v>1760</v>
      </c>
      <c r="H970" s="35"/>
      <c r="I970" s="35"/>
      <c r="J970" s="13" t="str">
        <f>(C970)&amp;"-"&amp;(D970)&amp;"-"&amp;(E970)&amp;"-"&amp;(F970)&amp;"-"&amp;(G970)</f>
        <v>5001-PM03-BR-BR1-35-25-139</v>
      </c>
      <c r="K970" s="14">
        <f>LEN(J970)</f>
        <v>26</v>
      </c>
      <c r="L970" s="35" t="s">
        <v>1761</v>
      </c>
      <c r="M970" s="14">
        <f>LEN(L970)</f>
        <v>26</v>
      </c>
      <c r="AD970" s="36" t="s">
        <v>35</v>
      </c>
      <c r="AE970" s="14"/>
    </row>
    <row r="971" spans="2:30" s="15" customFormat="1" x14ac:dyDescent="0.25">
      <c r="B971" s="16">
        <v>2</v>
      </c>
      <c r="H971" s="15" t="s">
        <v>1762</v>
      </c>
      <c r="L971" s="15" t="s">
        <v>1763</v>
      </c>
      <c r="M971" s="16">
        <f t="shared" si="56"/>
        <v>30</v>
      </c>
      <c r="AD971" s="56" t="s">
        <v>1373</v>
      </c>
    </row>
    <row r="972" spans="2:30" s="18" customFormat="1" x14ac:dyDescent="0.25">
      <c r="B972" s="19">
        <v>3</v>
      </c>
      <c r="I972" s="18" t="s">
        <v>1764</v>
      </c>
      <c r="L972" s="18" t="s">
        <v>1765</v>
      </c>
      <c r="M972" s="19">
        <f t="shared" si="56"/>
        <v>27</v>
      </c>
      <c r="AD972" s="53" t="s">
        <v>1373</v>
      </c>
    </row>
    <row r="973" spans="2:31" s="13" customFormat="1" x14ac:dyDescent="0.25">
      <c r="B973" s="14">
        <v>1</v>
      </c>
      <c r="C973" s="13">
        <v>5001</v>
      </c>
      <c r="D973" s="14" t="s">
        <v>31</v>
      </c>
      <c r="E973" s="14" t="s">
        <v>32</v>
      </c>
      <c r="F973" s="14" t="s">
        <v>34</v>
      </c>
      <c r="G973" s="35" t="s">
        <v>1766</v>
      </c>
      <c r="H973" s="35"/>
      <c r="I973" s="35"/>
      <c r="J973" s="13" t="str">
        <f>(C973)&amp;"-"&amp;(D973)&amp;"-"&amp;(E973)&amp;"-"&amp;(F973)&amp;"-"&amp;(G973)</f>
        <v>5001-PM03-BR-BR1-35-25-137</v>
      </c>
      <c r="K973" s="14">
        <f>LEN(J973)</f>
        <v>26</v>
      </c>
      <c r="L973" s="35" t="s">
        <v>1767</v>
      </c>
      <c r="M973" s="14">
        <f>LEN(L973)</f>
        <v>26</v>
      </c>
      <c r="AD973" s="36" t="s">
        <v>35</v>
      </c>
      <c r="AE973" s="14"/>
    </row>
    <row r="974" spans="2:30" s="15" customFormat="1" x14ac:dyDescent="0.25">
      <c r="B974" s="16">
        <v>2</v>
      </c>
      <c r="H974" s="15" t="s">
        <v>1768</v>
      </c>
      <c r="L974" s="15" t="s">
        <v>1769</v>
      </c>
      <c r="M974" s="16">
        <f t="shared" ref="M974" si="60">LEN(L974)</f>
        <v>28</v>
      </c>
      <c r="AD974" s="56" t="s">
        <v>1373</v>
      </c>
    </row>
    <row r="975" spans="2:30" s="18" customFormat="1" x14ac:dyDescent="0.25">
      <c r="B975" s="19">
        <v>3</v>
      </c>
      <c r="I975" s="18" t="s">
        <v>1770</v>
      </c>
      <c r="L975" s="18" t="s">
        <v>1771</v>
      </c>
      <c r="M975" s="19">
        <f t="shared" si="56"/>
        <v>35</v>
      </c>
      <c r="AD975" s="53" t="s">
        <v>1373</v>
      </c>
    </row>
    <row r="976" spans="2:30" s="15" customFormat="1" x14ac:dyDescent="0.25">
      <c r="B976" s="16">
        <v>2</v>
      </c>
      <c r="H976" s="15" t="s">
        <v>319</v>
      </c>
      <c r="L976" s="15" t="s">
        <v>1772</v>
      </c>
      <c r="M976" s="16">
        <f t="shared" ref="M976:M983" si="61">LEN(L976)</f>
        <v>23</v>
      </c>
      <c r="AD976" s="56" t="s">
        <v>1373</v>
      </c>
    </row>
    <row r="977" spans="2:31" s="13" customFormat="1" x14ac:dyDescent="0.25">
      <c r="B977" s="14">
        <v>1</v>
      </c>
      <c r="C977" s="13">
        <v>5001</v>
      </c>
      <c r="D977" s="14" t="s">
        <v>31</v>
      </c>
      <c r="E977" s="14" t="s">
        <v>32</v>
      </c>
      <c r="F977" s="14" t="s">
        <v>34</v>
      </c>
      <c r="G977" s="35" t="s">
        <v>1773</v>
      </c>
      <c r="H977" s="35"/>
      <c r="I977" s="35"/>
      <c r="J977" s="13" t="str">
        <f>(C977)&amp;"-"&amp;(D977)&amp;"-"&amp;(E977)&amp;"-"&amp;(F977)&amp;"-"&amp;(G977)</f>
        <v>5001-PM03-BR-BR1-35-25-134</v>
      </c>
      <c r="K977" s="14">
        <f>LEN(J977)</f>
        <v>26</v>
      </c>
      <c r="L977" s="35" t="s">
        <v>1774</v>
      </c>
      <c r="M977" s="14">
        <f>LEN(L977)</f>
        <v>26</v>
      </c>
      <c r="AD977" s="36" t="s">
        <v>35</v>
      </c>
      <c r="AE977" s="14"/>
    </row>
    <row r="978" spans="2:30" s="15" customFormat="1" x14ac:dyDescent="0.25">
      <c r="B978" s="16">
        <v>2</v>
      </c>
      <c r="H978" s="15" t="s">
        <v>326</v>
      </c>
      <c r="L978" s="15" t="s">
        <v>1775</v>
      </c>
      <c r="M978" s="16">
        <f t="shared" ref="M978" si="62">LEN(L978)</f>
        <v>26</v>
      </c>
      <c r="AD978" s="56" t="s">
        <v>1373</v>
      </c>
    </row>
    <row r="979" spans="2:30" s="15" customFormat="1" x14ac:dyDescent="0.25">
      <c r="B979" s="16">
        <v>2</v>
      </c>
      <c r="H979" s="15" t="s">
        <v>1776</v>
      </c>
      <c r="L979" s="15" t="s">
        <v>1777</v>
      </c>
      <c r="M979" s="16">
        <f t="shared" si="61"/>
        <v>24</v>
      </c>
      <c r="AD979" s="56" t="s">
        <v>1373</v>
      </c>
    </row>
    <row r="980" spans="2:31" s="13" customFormat="1" x14ac:dyDescent="0.25">
      <c r="B980" s="14">
        <v>1</v>
      </c>
      <c r="C980" s="13">
        <v>5001</v>
      </c>
      <c r="D980" s="14" t="s">
        <v>31</v>
      </c>
      <c r="E980" s="14" t="s">
        <v>32</v>
      </c>
      <c r="F980" s="14" t="s">
        <v>34</v>
      </c>
      <c r="G980" s="35" t="s">
        <v>1778</v>
      </c>
      <c r="H980" s="35"/>
      <c r="I980" s="35"/>
      <c r="J980" s="13" t="str">
        <f>(C980)&amp;"-"&amp;(D980)&amp;"-"&amp;(E980)&amp;"-"&amp;(F980)&amp;"-"&amp;(G980)</f>
        <v>5001-PM03-BR-BR1-35-25-182</v>
      </c>
      <c r="K980" s="14">
        <f>LEN(J980)</f>
        <v>26</v>
      </c>
      <c r="L980" s="35" t="s">
        <v>1779</v>
      </c>
      <c r="M980" s="14">
        <f>LEN(L980)</f>
        <v>41</v>
      </c>
      <c r="AD980" s="36" t="s">
        <v>35</v>
      </c>
      <c r="AE980" s="14"/>
    </row>
    <row r="981" spans="2:30" s="15" customFormat="1" x14ac:dyDescent="0.25">
      <c r="B981" s="16">
        <v>2</v>
      </c>
      <c r="H981" s="15" t="s">
        <v>1780</v>
      </c>
      <c r="L981" s="15" t="s">
        <v>1781</v>
      </c>
      <c r="M981" s="16">
        <f t="shared" si="61"/>
        <v>28</v>
      </c>
      <c r="AD981" s="56" t="s">
        <v>1373</v>
      </c>
    </row>
    <row r="982" spans="2:30" s="18" customFormat="1" x14ac:dyDescent="0.25">
      <c r="B982" s="19">
        <v>1</v>
      </c>
      <c r="I982" s="18" t="s">
        <v>1782</v>
      </c>
      <c r="L982" s="18" t="s">
        <v>1783</v>
      </c>
      <c r="M982" s="19">
        <f t="shared" si="61"/>
        <v>35</v>
      </c>
      <c r="AD982" s="53" t="s">
        <v>1373</v>
      </c>
    </row>
    <row r="983" spans="2:30" s="15" customFormat="1" x14ac:dyDescent="0.25">
      <c r="B983" s="16">
        <v>2</v>
      </c>
      <c r="H983" s="15" t="s">
        <v>1474</v>
      </c>
      <c r="L983" s="15" t="s">
        <v>1784</v>
      </c>
      <c r="M983" s="16">
        <f t="shared" si="61"/>
        <v>23</v>
      </c>
      <c r="AD983" s="56" t="s">
        <v>1373</v>
      </c>
    </row>
  </sheetData>
  <autoFilter ref="A1:AE1"/>
  <conditionalFormatting sqref="K2:K210">
    <cfRule type="cellIs" dxfId="0" priority="2" operator="greaterThan">
      <formula>30</formula>
    </cfRule>
  </conditionalFormatting>
  <conditionalFormatting sqref="K212:K520 K804:K806">
    <cfRule type="cellIs" dxfId="1" priority="56" operator="greaterThan">
      <formula>30</formula>
    </cfRule>
  </conditionalFormatting>
  <conditionalFormatting sqref="K525">
    <cfRule type="cellIs" dxfId="2" priority="55" operator="greaterThan">
      <formula>30</formula>
    </cfRule>
  </conditionalFormatting>
  <conditionalFormatting sqref="K530">
    <cfRule type="cellIs" dxfId="3" priority="54" operator="greaterThan">
      <formula>30</formula>
    </cfRule>
  </conditionalFormatting>
  <conditionalFormatting sqref="K535">
    <cfRule type="cellIs" dxfId="4" priority="53" operator="greaterThan">
      <formula>30</formula>
    </cfRule>
  </conditionalFormatting>
  <conditionalFormatting sqref="K540">
    <cfRule type="cellIs" dxfId="5" priority="52" operator="greaterThan">
      <formula>30</formula>
    </cfRule>
  </conditionalFormatting>
  <conditionalFormatting sqref="K545">
    <cfRule type="cellIs" dxfId="6" priority="51" operator="greaterThan">
      <formula>30</formula>
    </cfRule>
  </conditionalFormatting>
  <conditionalFormatting sqref="K550">
    <cfRule type="cellIs" dxfId="7" priority="50" operator="greaterThan">
      <formula>30</formula>
    </cfRule>
  </conditionalFormatting>
  <conditionalFormatting sqref="K555">
    <cfRule type="cellIs" dxfId="8" priority="49" operator="greaterThan">
      <formula>30</formula>
    </cfRule>
  </conditionalFormatting>
  <conditionalFormatting sqref="K560">
    <cfRule type="cellIs" dxfId="9" priority="48" operator="greaterThan">
      <formula>30</formula>
    </cfRule>
  </conditionalFormatting>
  <conditionalFormatting sqref="K565">
    <cfRule type="cellIs" dxfId="10" priority="47" operator="greaterThan">
      <formula>30</formula>
    </cfRule>
  </conditionalFormatting>
  <conditionalFormatting sqref="K570">
    <cfRule type="cellIs" dxfId="11" priority="46" operator="greaterThan">
      <formula>30</formula>
    </cfRule>
  </conditionalFormatting>
  <conditionalFormatting sqref="K575">
    <cfRule type="cellIs" dxfId="12" priority="45" operator="greaterThan">
      <formula>30</formula>
    </cfRule>
  </conditionalFormatting>
  <conditionalFormatting sqref="K580">
    <cfRule type="cellIs" dxfId="13" priority="44" operator="greaterThan">
      <formula>30</formula>
    </cfRule>
  </conditionalFormatting>
  <conditionalFormatting sqref="K585">
    <cfRule type="cellIs" dxfId="14" priority="43" operator="greaterThan">
      <formula>30</formula>
    </cfRule>
  </conditionalFormatting>
  <conditionalFormatting sqref="K590">
    <cfRule type="cellIs" dxfId="15" priority="42" operator="greaterThan">
      <formula>30</formula>
    </cfRule>
  </conditionalFormatting>
  <conditionalFormatting sqref="K595">
    <cfRule type="cellIs" dxfId="16" priority="41" operator="greaterThan">
      <formula>30</formula>
    </cfRule>
  </conditionalFormatting>
  <conditionalFormatting sqref="K600">
    <cfRule type="cellIs" dxfId="17" priority="40" operator="greaterThan">
      <formula>30</formula>
    </cfRule>
  </conditionalFormatting>
  <conditionalFormatting sqref="K605">
    <cfRule type="cellIs" dxfId="18" priority="39" operator="greaterThan">
      <formula>30</formula>
    </cfRule>
  </conditionalFormatting>
  <conditionalFormatting sqref="K610">
    <cfRule type="cellIs" dxfId="19" priority="38" operator="greaterThan">
      <formula>30</formula>
    </cfRule>
  </conditionalFormatting>
  <conditionalFormatting sqref="K615">
    <cfRule type="cellIs" dxfId="20" priority="37" operator="greaterThan">
      <formula>30</formula>
    </cfRule>
  </conditionalFormatting>
  <conditionalFormatting sqref="K620">
    <cfRule type="cellIs" dxfId="21" priority="36" operator="greaterThan">
      <formula>30</formula>
    </cfRule>
  </conditionalFormatting>
  <conditionalFormatting sqref="K625">
    <cfRule type="cellIs" dxfId="22" priority="35" operator="greaterThan">
      <formula>30</formula>
    </cfRule>
  </conditionalFormatting>
  <conditionalFormatting sqref="K630">
    <cfRule type="cellIs" dxfId="23" priority="34" operator="greaterThan">
      <formula>30</formula>
    </cfRule>
  </conditionalFormatting>
  <conditionalFormatting sqref="K635">
    <cfRule type="cellIs" dxfId="24" priority="33" operator="greaterThan">
      <formula>30</formula>
    </cfRule>
  </conditionalFormatting>
  <conditionalFormatting sqref="K640">
    <cfRule type="cellIs" dxfId="25" priority="32" operator="greaterThan">
      <formula>30</formula>
    </cfRule>
  </conditionalFormatting>
  <conditionalFormatting sqref="K645">
    <cfRule type="cellIs" dxfId="26" priority="31" operator="greaterThan">
      <formula>30</formula>
    </cfRule>
  </conditionalFormatting>
  <conditionalFormatting sqref="K650">
    <cfRule type="cellIs" dxfId="27" priority="30" operator="greaterThan">
      <formula>30</formula>
    </cfRule>
  </conditionalFormatting>
  <conditionalFormatting sqref="K653">
    <cfRule type="cellIs" dxfId="28" priority="29" operator="greaterThan">
      <formula>30</formula>
    </cfRule>
  </conditionalFormatting>
  <conditionalFormatting sqref="K658">
    <cfRule type="cellIs" dxfId="29" priority="28" operator="greaterThan">
      <formula>30</formula>
    </cfRule>
  </conditionalFormatting>
  <conditionalFormatting sqref="K663">
    <cfRule type="cellIs" dxfId="30" priority="27" operator="greaterThan">
      <formula>30</formula>
    </cfRule>
  </conditionalFormatting>
  <conditionalFormatting sqref="K668">
    <cfRule type="cellIs" dxfId="31" priority="26" operator="greaterThan">
      <formula>30</formula>
    </cfRule>
  </conditionalFormatting>
  <conditionalFormatting sqref="K673">
    <cfRule type="cellIs" dxfId="32" priority="25" operator="greaterThan">
      <formula>30</formula>
    </cfRule>
  </conditionalFormatting>
  <conditionalFormatting sqref="K678">
    <cfRule type="cellIs" dxfId="33" priority="24" operator="greaterThan">
      <formula>30</formula>
    </cfRule>
  </conditionalFormatting>
  <conditionalFormatting sqref="K683">
    <cfRule type="cellIs" dxfId="34" priority="23" operator="greaterThan">
      <formula>30</formula>
    </cfRule>
  </conditionalFormatting>
  <conditionalFormatting sqref="K689">
    <cfRule type="cellIs" dxfId="35" priority="22" operator="greaterThan">
      <formula>30</formula>
    </cfRule>
  </conditionalFormatting>
  <conditionalFormatting sqref="K694">
    <cfRule type="cellIs" dxfId="36" priority="21" operator="greaterThan">
      <formula>30</formula>
    </cfRule>
  </conditionalFormatting>
  <conditionalFormatting sqref="K699">
    <cfRule type="cellIs" dxfId="37" priority="20" operator="greaterThan">
      <formula>30</formula>
    </cfRule>
  </conditionalFormatting>
  <conditionalFormatting sqref="K704">
    <cfRule type="cellIs" dxfId="38" priority="19" operator="greaterThan">
      <formula>30</formula>
    </cfRule>
  </conditionalFormatting>
  <conditionalFormatting sqref="K709">
    <cfRule type="cellIs" dxfId="39" priority="18" operator="greaterThan">
      <formula>30</formula>
    </cfRule>
  </conditionalFormatting>
  <conditionalFormatting sqref="K714">
    <cfRule type="cellIs" dxfId="40" priority="17" operator="greaterThan">
      <formula>30</formula>
    </cfRule>
  </conditionalFormatting>
  <conditionalFormatting sqref="K775:K776">
    <cfRule type="cellIs" dxfId="41" priority="16" operator="greaterThan">
      <formula>30</formula>
    </cfRule>
  </conditionalFormatting>
  <conditionalFormatting sqref="K817:K818">
    <cfRule type="cellIs" dxfId="42" priority="15" operator="greaterThan">
      <formula>30</formula>
    </cfRule>
  </conditionalFormatting>
  <conditionalFormatting sqref="K838">
    <cfRule type="cellIs" dxfId="43" priority="14" operator="greaterThan">
      <formula>30</formula>
    </cfRule>
  </conditionalFormatting>
  <conditionalFormatting sqref="K859">
    <cfRule type="cellIs" dxfId="44" priority="13" operator="greaterThan">
      <formula>30</formula>
    </cfRule>
  </conditionalFormatting>
  <conditionalFormatting sqref="K864">
    <cfRule type="cellIs" dxfId="45" priority="12" operator="greaterThan">
      <formula>30</formula>
    </cfRule>
  </conditionalFormatting>
  <conditionalFormatting sqref="K893">
    <cfRule type="cellIs" dxfId="46" priority="11" operator="greaterThan">
      <formula>30</formula>
    </cfRule>
  </conditionalFormatting>
  <conditionalFormatting sqref="K918">
    <cfRule type="cellIs" dxfId="47" priority="10" operator="greaterThan">
      <formula>30</formula>
    </cfRule>
  </conditionalFormatting>
  <conditionalFormatting sqref="K943">
    <cfRule type="cellIs" dxfId="48" priority="9" operator="greaterThan">
      <formula>30</formula>
    </cfRule>
  </conditionalFormatting>
  <conditionalFormatting sqref="K955">
    <cfRule type="cellIs" dxfId="49" priority="8" operator="greaterThan">
      <formula>30</formula>
    </cfRule>
  </conditionalFormatting>
  <conditionalFormatting sqref="K958 K961:K963">
    <cfRule type="cellIs" dxfId="50" priority="7" operator="greaterThan">
      <formula>30</formula>
    </cfRule>
  </conditionalFormatting>
  <conditionalFormatting sqref="K970">
    <cfRule type="cellIs" dxfId="51" priority="6" operator="greaterThan">
      <formula>30</formula>
    </cfRule>
  </conditionalFormatting>
  <conditionalFormatting sqref="K973">
    <cfRule type="cellIs" dxfId="52" priority="5" operator="greaterThan">
      <formula>30</formula>
    </cfRule>
  </conditionalFormatting>
  <conditionalFormatting sqref="K977">
    <cfRule type="cellIs" dxfId="53" priority="4" operator="greaterThan">
      <formula>30</formula>
    </cfRule>
  </conditionalFormatting>
  <conditionalFormatting sqref="K980">
    <cfRule type="cellIs" dxfId="54" priority="3" operator="greaterThan">
      <formula>30</formula>
    </cfRule>
  </conditionalFormatting>
  <conditionalFormatting sqref="M2:M983">
    <cfRule type="cellIs" dxfId="55" priority="1" operator="greaterThan">
      <formula>40</formula>
    </cfRule>
  </conditionalFormatting>
  <pageMargins left="0.7" right="0.7" top="0.75" bottom="0.75" header="0.3" footer="0.3"/>
  <headerFooter>
    <oddHeader>&amp;L&amp;"Aptos"&amp;8&amp;K000000 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Whelan</dc:creator>
  <cp:lastModifiedBy>Rob Whelan</cp:lastModifiedBy>
  <dcterms:created xsi:type="dcterms:W3CDTF">2026-05-21T07:26:45Z</dcterms:created>
  <dcterms:modified xsi:type="dcterms:W3CDTF">2026-05-21T07:29:56Z</dcterms:modified>
</cp:coreProperties>
</file>